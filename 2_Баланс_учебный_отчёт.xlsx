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📋 Баланс на дату" sheetId="1" r:id="rId5"/>
    <sheet state="visible" name="📊 Структура" sheetId="2" r:id="rId6"/>
    <sheet state="visible" name="⚖️ Балансовое уравнение" sheetId="3" r:id="rId7"/>
  </sheets>
  <definedNames/>
  <calcPr/>
</workbook>
</file>

<file path=xl/sharedStrings.xml><?xml version="1.0" encoding="utf-8"?>
<sst xmlns="http://schemas.openxmlformats.org/spreadsheetml/2006/main" count="77" uniqueCount="72">
  <si>
    <t>УЧЕБНЫЙ БАЛАНС — на 31 марта 2025</t>
  </si>
  <si>
    <t>📌 Баланс — это «снимок» бизнеса на конкретный момент времени (не за период, как ДДС или P&amp;L). Показывает: что есть у бизнеса (активы) и за чей счёт (пассивы).</t>
  </si>
  <si>
    <t>АКТИВЫ</t>
  </si>
  <si>
    <t>ПАССИВЫ (Обязательства + Капитал)</t>
  </si>
  <si>
    <t>Статья</t>
  </si>
  <si>
    <t>Сумма, сум</t>
  </si>
  <si>
    <t>Оборотные активы</t>
  </si>
  <si>
    <t>Краткосрочные обязательства</t>
  </si>
  <si>
    <t xml:space="preserve">  Деньги на счетах и в кассе</t>
  </si>
  <si>
    <t xml:space="preserve">  Кредиторская задолженность (поставщикам)</t>
  </si>
  <si>
    <t xml:space="preserve">  Дебиторская задолженность (клиенты должны)</t>
  </si>
  <si>
    <t xml:space="preserve">  Налоги к уплате</t>
  </si>
  <si>
    <t xml:space="preserve">  Запасы (материалы, учебные пособия)</t>
  </si>
  <si>
    <t xml:space="preserve">  Зарплата к выплате (за март)</t>
  </si>
  <si>
    <t>Итого оборотные активы</t>
  </si>
  <si>
    <t>Итого краткосрочные обязательства</t>
  </si>
  <si>
    <t>Внеоборотные активы</t>
  </si>
  <si>
    <t>Долгосрочные обязательства</t>
  </si>
  <si>
    <t xml:space="preserve">  Оборудование (компьютеры, мебель)</t>
  </si>
  <si>
    <t xml:space="preserve">  Долгосрочный кредит на развитие</t>
  </si>
  <si>
    <t xml:space="preserve">  Ремонт и отделка офиса</t>
  </si>
  <si>
    <t>Итого внеоборотные активы</t>
  </si>
  <si>
    <t>Итого долгосрочные обязательства</t>
  </si>
  <si>
    <t>Капитал</t>
  </si>
  <si>
    <t xml:space="preserve">  Уставный капитал (вложения собственника)</t>
  </si>
  <si>
    <t xml:space="preserve">  Нераспределённая прибыль (накопленная)</t>
  </si>
  <si>
    <t>Итого капитал</t>
  </si>
  <si>
    <t>ИТОГО АКТИВЫ</t>
  </si>
  <si>
    <t>ИТОГО ПАССИВЫ (Обязательства + Капитал)</t>
  </si>
  <si>
    <t>⚖️  ПРОВЕРКА БАЛАНСА:  Активы (17 993 500) = Обязательства (8 318 000) + Капитал (9 675 500)  →  17 993 500 = 17 993 500  ✅ Сходится!</t>
  </si>
  <si>
    <t>💡 Капитал найден не «напрямую», а через балансовое уравнение: Капитал = Активы − Обязательства. Так часто и проверяют корректность учёта на практике.</t>
  </si>
  <si>
    <t>СТРУКТУРА БАЛАНСА — из чего состоят активы и пассивы</t>
  </si>
  <si>
    <t>ВСЕГО АКТИВОВ</t>
  </si>
  <si>
    <t>ОБЯЗАТЕЛЬСТВА</t>
  </si>
  <si>
    <t>КАПИТАЛ</t>
  </si>
  <si>
    <t>ДОЛЯ ЗАЁМНЫХ СРЕДСТВ</t>
  </si>
  <si>
    <t>Тип актива</t>
  </si>
  <si>
    <t>Сумма</t>
  </si>
  <si>
    <t>Источник средств</t>
  </si>
  <si>
    <t>Деньги</t>
  </si>
  <si>
    <t>Краткоср. обязательства</t>
  </si>
  <si>
    <t>Активы</t>
  </si>
  <si>
    <t>Дебит. задолженность</t>
  </si>
  <si>
    <t>Долгоср. обязательства</t>
  </si>
  <si>
    <t>Пассивы</t>
  </si>
  <si>
    <t>Запасы</t>
  </si>
  <si>
    <t>Капитал (собственное)</t>
  </si>
  <si>
    <t>Оборудование</t>
  </si>
  <si>
    <t>Ремонт/отделка</t>
  </si>
  <si>
    <t>БАЛАНСОВОЕ УРАВНЕНИЕ — как не запутаться в активах и пассивах</t>
  </si>
  <si>
    <t>⚖️ ГЛАВНАЯ ФОРМУЛА</t>
  </si>
  <si>
    <t>АКТИВЫ = ОБЯЗАТЕЛЬСТВА + КАПИТАЛ</t>
  </si>
  <si>
    <t>Это уравнение должно сходиться всегда — для любого бизнеса, в любой момент времени.</t>
  </si>
  <si>
    <t>Если оно не сходится — значит, где-то ошибка в учёте.</t>
  </si>
  <si>
    <t>❓ КАК ЧИТАТЬ ЭТО УРАВНЕНИЕ</t>
  </si>
  <si>
    <t>Активы — это ЧТО есть у бизнеса (во что вложены деньги: оборудование, товары, деньги на счетах).</t>
  </si>
  <si>
    <t>Пассивы — это ОТКУДА взялись эти средства: либо чужие деньги (обязательства), либо свои (капитал).</t>
  </si>
  <si>
    <t>Любой актив на 100% профинансирован — либо долгом, либо собственными деньгами. Третьего не дано.</t>
  </si>
  <si>
    <t>❌ ЧАСТАЯ ПУТАНИЦА</t>
  </si>
  <si>
    <t>«Актив — это хорошо, обязательство — это плохо» — НЕТ, это не оценка, а просто два разных вопроса.</t>
  </si>
  <si>
    <t>Актив отвечает на вопрос «что у нас есть», обязательство — на вопрос «кому мы должны за это».</t>
  </si>
  <si>
    <t>Большие активы при больших обязательствах не делают бизнес «богатым» — см. Кейс 8 «Богатый на бумаге».</t>
  </si>
  <si>
    <t>✅ КАК ПРИМЕНЯТЬ НА ПРАКТИКЕ</t>
  </si>
  <si>
    <t>1. Если знаете активы и обязательства — капитал считается как разница: Капитал = Активы − Обязательства</t>
  </si>
  <si>
    <t>2. Уравнение — это и есть способ самопроверки: сошлось — учёт верный, не сошлось — ищите ошибку</t>
  </si>
  <si>
    <t>3. Соотношение Обязательства / Капитал показывает, насколько бизнес зависим от заёмных денег</t>
  </si>
  <si>
    <t>ПРИМЕР ИЗ НАШЕГО УЧЕБНОГО БАЛАНСА (см. лист «Баланс на дату»)</t>
  </si>
  <si>
    <t>Показатель</t>
  </si>
  <si>
    <t>Активы (всего)</t>
  </si>
  <si>
    <t>Обязательства (всего)</t>
  </si>
  <si>
    <t>Капитал (Активы − Обязательства)</t>
  </si>
  <si>
    <t>🔑 ПРОВЕРКА: 17 993 500 = 8 318 000 + 9 675 500 → сходится! Баланс составлен верно.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</si>
</sst>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;\(#,##0\);\-"/>
    <numFmt numFmtId="165" formatCode="0.0%"/>
  </numFmts>
  <fonts count="34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9.0"/>
      <color rgb="FF555555"/>
      <name val="Arial"/>
    </font>
    <font>
      <b/>
      <sz val="12.0"/>
      <color rgb="FFFFFFFF"/>
      <name val="Arial"/>
    </font>
    <font>
      <b/>
      <sz val="9.0"/>
      <color rgb="FFFFFFFF"/>
      <name val="Arial"/>
    </font>
    <font>
      <b/>
      <i/>
      <sz val="9.0"/>
      <color rgb="FF1E8449"/>
      <name val="Arial"/>
    </font>
    <font>
      <b/>
      <i/>
      <sz val="9.0"/>
      <color rgb="FF1A5276"/>
      <name val="Arial"/>
    </font>
    <font>
      <sz val="9.0"/>
      <color rgb="FF000000"/>
      <name val="Arial"/>
    </font>
    <font>
      <b/>
      <sz val="10.0"/>
      <color rgb="FF27AE60"/>
      <name val="Arial"/>
    </font>
    <font>
      <b/>
      <sz val="10.0"/>
      <color rgb="FF2980B9"/>
      <name val="Arial"/>
    </font>
    <font>
      <b/>
      <sz val="9.0"/>
      <color rgb="FF000000"/>
      <name val="Arial"/>
    </font>
    <font>
      <b/>
      <sz val="10.0"/>
      <color rgb="FF1E8449"/>
      <name val="Arial"/>
    </font>
    <font>
      <b/>
      <sz val="10.0"/>
      <color rgb="FF1A5276"/>
      <name val="Arial"/>
    </font>
    <font>
      <sz val="11.0"/>
      <color theme="1"/>
      <name val="Calibri"/>
    </font>
    <font>
      <sz val="10.0"/>
      <color rgb="FF000000"/>
      <name val="Arial"/>
    </font>
    <font>
      <b/>
      <i/>
      <sz val="9.0"/>
      <color rgb="FF8E44AD"/>
      <name val="Arial"/>
    </font>
    <font>
      <b/>
      <sz val="10.0"/>
      <color rgb="FF8E44AD"/>
      <name val="Arial"/>
    </font>
    <font>
      <b/>
      <sz val="11.0"/>
      <color rgb="FFFFFFFF"/>
      <name val="Arial"/>
    </font>
    <font>
      <color theme="1"/>
      <name val="Calibri"/>
      <scheme val="minor"/>
    </font>
    <font>
      <b/>
      <sz val="10.0"/>
      <color rgb="FF7D6608"/>
      <name val="Arial"/>
    </font>
    <font>
      <b/>
      <sz val="13.0"/>
      <color rgb="FFFFFFFF"/>
      <name val="Arial"/>
    </font>
    <font>
      <b/>
      <sz val="9.0"/>
      <color rgb="FF27AE60"/>
      <name val="Arial"/>
    </font>
    <font>
      <b/>
      <sz val="9.0"/>
      <color rgb="FF2980B9"/>
      <name val="Arial"/>
    </font>
    <font>
      <b/>
      <sz val="9.0"/>
      <color rgb="FF8E44AD"/>
      <name val="Arial"/>
    </font>
    <font>
      <b/>
      <sz val="9.0"/>
      <color rgb="FFE74C3C"/>
      <name val="Arial"/>
    </font>
    <font>
      <b/>
      <sz val="15.0"/>
      <color rgb="FF27AE60"/>
      <name val="Arial"/>
    </font>
    <font>
      <b/>
      <sz val="15.0"/>
      <color rgb="FF2980B9"/>
      <name val="Arial"/>
    </font>
    <font>
      <b/>
      <sz val="15.0"/>
      <color rgb="FF8E44AD"/>
      <name val="Arial"/>
    </font>
    <font>
      <b/>
      <sz val="15.0"/>
      <color rgb="FFE74C3C"/>
      <name val="Arial"/>
    </font>
    <font>
      <b/>
      <sz val="11.0"/>
      <color rgb="FF1A5276"/>
      <name val="Arial"/>
    </font>
    <font>
      <b/>
      <sz val="13.0"/>
      <color rgb="FF1A5276"/>
      <name val="Arial"/>
    </font>
    <font>
      <b/>
      <sz val="10.0"/>
      <color rgb="FF000000"/>
      <name val="Arial"/>
    </font>
    <font>
      <b/>
      <sz val="11.0"/>
      <color rgb="FF27AE60"/>
      <name val="Arial"/>
    </font>
  </fonts>
  <fills count="23">
    <fill>
      <patternFill patternType="none"/>
    </fill>
    <fill>
      <patternFill patternType="lightGray"/>
    </fill>
    <fill>
      <patternFill patternType="solid">
        <fgColor rgb="FF1F2D3D"/>
        <bgColor rgb="FF1F2D3D"/>
      </patternFill>
    </fill>
    <fill>
      <patternFill patternType="solid">
        <fgColor rgb="FFFDFEFE"/>
        <bgColor rgb="FFFDFEFE"/>
      </patternFill>
    </fill>
    <fill>
      <patternFill patternType="solid">
        <fgColor rgb="FF27AE60"/>
        <bgColor rgb="FF27AE60"/>
      </patternFill>
    </fill>
    <fill>
      <patternFill patternType="solid">
        <fgColor rgb="FF2980B9"/>
        <bgColor rgb="FF2980B9"/>
      </patternFill>
    </fill>
    <fill>
      <patternFill patternType="solid">
        <fgColor rgb="FF1E8449"/>
        <bgColor rgb="FF1E8449"/>
      </patternFill>
    </fill>
    <fill>
      <patternFill patternType="solid">
        <fgColor rgb="FF1A5276"/>
        <bgColor rgb="FF1A5276"/>
      </patternFill>
    </fill>
    <fill>
      <patternFill patternType="solid">
        <fgColor rgb="FFEAFAF1"/>
        <bgColor rgb="FFEAFAF1"/>
      </patternFill>
    </fill>
    <fill>
      <patternFill patternType="solid">
        <fgColor rgb="FFEBF5FB"/>
        <bgColor rgb="FFEBF5FB"/>
      </patternFill>
    </fill>
    <fill>
      <patternFill patternType="solid">
        <fgColor rgb="FFF4FBF7"/>
        <bgColor rgb="FFF4FBF7"/>
      </patternFill>
    </fill>
    <fill>
      <patternFill patternType="solid">
        <fgColor rgb="FFF2F8FD"/>
        <bgColor rgb="FFF2F8FD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D6EAF8"/>
        <bgColor rgb="FFD6EAF8"/>
      </patternFill>
    </fill>
    <fill>
      <patternFill patternType="solid">
        <fgColor rgb="FFF4ECF7"/>
        <bgColor rgb="FFF4ECF7"/>
      </patternFill>
    </fill>
    <fill>
      <patternFill patternType="solid">
        <fgColor rgb="FFFAF0FB"/>
        <bgColor rgb="FFFAF0FB"/>
      </patternFill>
    </fill>
    <fill>
      <patternFill patternType="solid">
        <fgColor rgb="FFEBDEF0"/>
        <bgColor rgb="FFEBDEF0"/>
      </patternFill>
    </fill>
    <fill>
      <patternFill patternType="solid">
        <fgColor rgb="FFFEF9E7"/>
        <bgColor rgb="FFFEF9E7"/>
      </patternFill>
    </fill>
    <fill>
      <patternFill patternType="solid">
        <fgColor rgb="FFFDEDEC"/>
        <bgColor rgb="FFFDEDEC"/>
      </patternFill>
    </fill>
    <fill>
      <patternFill patternType="solid">
        <fgColor rgb="FFF9E79F"/>
        <bgColor rgb="FFF9E79F"/>
      </patternFill>
    </fill>
    <fill>
      <patternFill patternType="solid">
        <fgColor rgb="FF2C3E50"/>
        <bgColor rgb="FF2C3E50"/>
      </patternFill>
    </fill>
    <fill>
      <patternFill patternType="solid">
        <fgColor rgb="FFF2F3F4"/>
        <bgColor rgb="FFF2F3F4"/>
      </patternFill>
    </fill>
  </fills>
  <borders count="2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DDDDDD"/>
      </left>
      <top style="thin">
        <color rgb="FFDDDDDD"/>
      </top>
      <bottom style="thin">
        <color rgb="FFDDDDDD"/>
      </bottom>
    </border>
    <border>
      <right/>
      <top style="thin">
        <color rgb="FFDDDDDD"/>
      </top>
      <bottom style="thin">
        <color rgb="FFDDDDDD"/>
      </bottom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</border>
    <border>
      <left style="medium">
        <color rgb="FF27AE60"/>
      </left>
      <top style="medium">
        <color rgb="FF27AE60"/>
      </top>
      <bottom style="medium">
        <color rgb="FF27AE60"/>
      </bottom>
    </border>
    <border>
      <right/>
      <top style="medium">
        <color rgb="FF27AE60"/>
      </top>
      <bottom style="medium">
        <color rgb="FF27AE60"/>
      </bottom>
    </border>
    <border>
      <left style="medium">
        <color rgb="FF27AE60"/>
      </left>
      <right style="medium">
        <color rgb="FF27AE60"/>
      </right>
      <top style="medium">
        <color rgb="FF27AE60"/>
      </top>
      <bottom style="medium">
        <color rgb="FF27AE60"/>
      </bottom>
    </border>
    <border>
      <left style="medium">
        <color rgb="FF2980B9"/>
      </left>
      <top style="medium">
        <color rgb="FF2980B9"/>
      </top>
      <bottom style="medium">
        <color rgb="FF2980B9"/>
      </bottom>
    </border>
    <border>
      <right/>
      <top style="medium">
        <color rgb="FF2980B9"/>
      </top>
      <bottom style="medium">
        <color rgb="FF2980B9"/>
      </bottom>
    </border>
    <border>
      <left style="medium">
        <color rgb="FF2980B9"/>
      </left>
      <right style="medium">
        <color rgb="FF2980B9"/>
      </right>
      <top style="medium">
        <color rgb="FF2980B9"/>
      </top>
      <bottom style="medium">
        <color rgb="FF2980B9"/>
      </bottom>
    </border>
    <border>
      <right/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</border>
    <border>
      <top style="thin">
        <color rgb="FFCCCCCC"/>
      </top>
    </border>
    <border>
      <right/>
      <top style="thin">
        <color rgb="FFCCCCCC"/>
      </top>
    </border>
    <border>
      <left style="thin">
        <color rgb="FFCCCCCC"/>
      </left>
      <bottom/>
    </border>
    <border>
      <bottom/>
    </border>
    <border>
      <right/>
      <bottom/>
    </border>
    <border>
      <left/>
      <right/>
      <top/>
      <bottom/>
    </border>
    <border>
      <top style="thin">
        <color rgb="FFDDDDDD"/>
      </top>
      <bottom style="thin">
        <color rgb="FFDDDDDD"/>
      </bottom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center" wrapText="0"/>
    </xf>
    <xf borderId="5" fillId="0" fontId="2" numFmtId="0" xfId="0" applyBorder="1" applyFont="1"/>
    <xf borderId="6" fillId="0" fontId="2" numFmtId="0" xfId="0" applyBorder="1" applyFont="1"/>
    <xf borderId="4" fillId="5" fontId="4" numFmtId="0" xfId="0" applyAlignment="1" applyBorder="1" applyFill="1" applyFont="1">
      <alignment horizontal="center" shrinkToFit="0" vertical="center" wrapText="0"/>
    </xf>
    <xf borderId="4" fillId="6" fontId="5" numFmtId="0" xfId="0" applyAlignment="1" applyBorder="1" applyFill="1" applyFont="1">
      <alignment horizontal="center" shrinkToFit="0" vertical="center" wrapText="0"/>
    </xf>
    <xf borderId="7" fillId="6" fontId="5" numFmtId="0" xfId="0" applyAlignment="1" applyBorder="1" applyFont="1">
      <alignment horizontal="center" shrinkToFit="0" vertical="center" wrapText="0"/>
    </xf>
    <xf borderId="4" fillId="7" fontId="5" numFmtId="0" xfId="0" applyAlignment="1" applyBorder="1" applyFill="1" applyFont="1">
      <alignment horizontal="center" shrinkToFit="0" vertical="center" wrapText="0"/>
    </xf>
    <xf borderId="7" fillId="7" fontId="5" numFmtId="0" xfId="0" applyAlignment="1" applyBorder="1" applyFont="1">
      <alignment horizontal="center" shrinkToFit="0" vertical="center" wrapText="0"/>
    </xf>
    <xf borderId="1" fillId="8" fontId="6" numFmtId="0" xfId="0" applyAlignment="1" applyBorder="1" applyFill="1" applyFont="1">
      <alignment horizontal="left" shrinkToFit="0" vertical="center" wrapText="0"/>
    </xf>
    <xf borderId="1" fillId="9" fontId="7" numFmtId="0" xfId="0" applyAlignment="1" applyBorder="1" applyFill="1" applyFont="1">
      <alignment horizontal="left" shrinkToFit="0" vertical="center" wrapText="0"/>
    </xf>
    <xf borderId="8" fillId="10" fontId="8" numFmtId="0" xfId="0" applyAlignment="1" applyBorder="1" applyFill="1" applyFont="1">
      <alignment horizontal="left" shrinkToFit="0" vertical="center" wrapText="1"/>
    </xf>
    <xf borderId="9" fillId="0" fontId="2" numFmtId="0" xfId="0" applyBorder="1" applyFont="1"/>
    <xf borderId="10" fillId="10" fontId="9" numFmtId="164" xfId="0" applyAlignment="1" applyBorder="1" applyFont="1" applyNumberFormat="1">
      <alignment horizontal="right" shrinkToFit="0" vertical="center" wrapText="0"/>
    </xf>
    <xf borderId="8" fillId="11" fontId="8" numFmtId="0" xfId="0" applyAlignment="1" applyBorder="1" applyFill="1" applyFont="1">
      <alignment horizontal="left" shrinkToFit="0" vertical="center" wrapText="1"/>
    </xf>
    <xf borderId="10" fillId="11" fontId="10" numFmtId="164" xfId="0" applyAlignment="1" applyBorder="1" applyFont="1" applyNumberFormat="1">
      <alignment horizontal="right" shrinkToFit="0" vertical="center" wrapText="0"/>
    </xf>
    <xf borderId="8" fillId="12" fontId="8" numFmtId="0" xfId="0" applyAlignment="1" applyBorder="1" applyFill="1" applyFont="1">
      <alignment horizontal="left" shrinkToFit="0" vertical="center" wrapText="1"/>
    </xf>
    <xf borderId="10" fillId="12" fontId="9" numFmtId="164" xfId="0" applyAlignment="1" applyBorder="1" applyFont="1" applyNumberFormat="1">
      <alignment horizontal="right" shrinkToFit="0" vertical="center" wrapText="0"/>
    </xf>
    <xf borderId="10" fillId="12" fontId="10" numFmtId="164" xfId="0" applyAlignment="1" applyBorder="1" applyFont="1" applyNumberFormat="1">
      <alignment horizontal="right" shrinkToFit="0" vertical="center" wrapText="0"/>
    </xf>
    <xf borderId="8" fillId="13" fontId="11" numFmtId="0" xfId="0" applyAlignment="1" applyBorder="1" applyFill="1" applyFont="1">
      <alignment horizontal="left" shrinkToFit="0" vertical="center" wrapText="0"/>
    </xf>
    <xf borderId="10" fillId="13" fontId="12" numFmtId="164" xfId="0" applyAlignment="1" applyBorder="1" applyFont="1" applyNumberFormat="1">
      <alignment horizontal="right" shrinkToFit="0" vertical="center" wrapText="0"/>
    </xf>
    <xf borderId="8" fillId="14" fontId="11" numFmtId="0" xfId="0" applyAlignment="1" applyBorder="1" applyFill="1" applyFont="1">
      <alignment horizontal="left" shrinkToFit="0" vertical="center" wrapText="0"/>
    </xf>
    <xf borderId="10" fillId="14" fontId="13" numFmtId="164" xfId="0" applyAlignment="1" applyBorder="1" applyFont="1" applyNumberFormat="1">
      <alignment horizontal="right" shrinkToFit="0" vertical="center" wrapText="0"/>
    </xf>
    <xf borderId="0" fillId="0" fontId="14" numFmtId="0" xfId="0" applyAlignment="1" applyFont="1">
      <alignment shrinkToFit="0" vertical="bottom" wrapText="0"/>
    </xf>
    <xf borderId="8" fillId="12" fontId="15" numFmtId="0" xfId="0" applyAlignment="1" applyBorder="1" applyFont="1">
      <alignment horizontal="left" shrinkToFit="0" vertical="center" wrapText="0"/>
    </xf>
    <xf borderId="10" fillId="12" fontId="15" numFmtId="0" xfId="0" applyAlignment="1" applyBorder="1" applyFont="1">
      <alignment horizontal="left" shrinkToFit="0" vertical="center" wrapText="0"/>
    </xf>
    <xf borderId="1" fillId="15" fontId="16" numFmtId="0" xfId="0" applyAlignment="1" applyBorder="1" applyFill="1" applyFont="1">
      <alignment horizontal="left" shrinkToFit="0" vertical="center" wrapText="0"/>
    </xf>
    <xf borderId="8" fillId="16" fontId="8" numFmtId="0" xfId="0" applyAlignment="1" applyBorder="1" applyFill="1" applyFont="1">
      <alignment horizontal="left" shrinkToFit="0" vertical="center" wrapText="1"/>
    </xf>
    <xf borderId="10" fillId="16" fontId="17" numFmtId="164" xfId="0" applyAlignment="1" applyBorder="1" applyFont="1" applyNumberFormat="1">
      <alignment horizontal="right" shrinkToFit="0" vertical="center" wrapText="0"/>
    </xf>
    <xf borderId="10" fillId="12" fontId="17" numFmtId="164" xfId="0" applyAlignment="1" applyBorder="1" applyFont="1" applyNumberFormat="1">
      <alignment horizontal="right" shrinkToFit="0" vertical="center" wrapText="0"/>
    </xf>
    <xf borderId="8" fillId="17" fontId="11" numFmtId="0" xfId="0" applyAlignment="1" applyBorder="1" applyFill="1" applyFont="1">
      <alignment horizontal="left" shrinkToFit="0" vertical="center" wrapText="0"/>
    </xf>
    <xf borderId="10" fillId="17" fontId="17" numFmtId="164" xfId="0" applyAlignment="1" applyBorder="1" applyFont="1" applyNumberFormat="1">
      <alignment horizontal="right" shrinkToFit="0" vertical="center" wrapText="0"/>
    </xf>
    <xf borderId="11" fillId="4" fontId="18" numFmtId="0" xfId="0" applyAlignment="1" applyBorder="1" applyFont="1">
      <alignment horizontal="center" shrinkToFit="0" vertical="center" wrapText="0"/>
    </xf>
    <xf borderId="12" fillId="0" fontId="2" numFmtId="0" xfId="0" applyBorder="1" applyFont="1"/>
    <xf borderId="13" fillId="4" fontId="18" numFmtId="164" xfId="0" applyAlignment="1" applyBorder="1" applyFont="1" applyNumberFormat="1">
      <alignment horizontal="right" shrinkToFit="0" vertical="center" wrapText="0"/>
    </xf>
    <xf borderId="14" fillId="5" fontId="18" numFmtId="0" xfId="0" applyAlignment="1" applyBorder="1" applyFont="1">
      <alignment horizontal="center" shrinkToFit="0" vertical="center" wrapText="0"/>
    </xf>
    <xf borderId="15" fillId="0" fontId="2" numFmtId="0" xfId="0" applyBorder="1" applyFont="1"/>
    <xf borderId="16" fillId="5" fontId="18" numFmtId="164" xfId="0" applyAlignment="1" applyBorder="1" applyFont="1" applyNumberFormat="1">
      <alignment horizontal="right" shrinkToFit="0" vertical="center" wrapText="0"/>
    </xf>
    <xf borderId="0" fillId="0" fontId="19" numFmtId="164" xfId="0" applyFont="1" applyNumberFormat="1"/>
    <xf borderId="1" fillId="18" fontId="20" numFmtId="0" xfId="0" applyAlignment="1" applyBorder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2" fontId="21" numFmtId="0" xfId="0" applyAlignment="1" applyBorder="1" applyFont="1">
      <alignment horizontal="center" shrinkToFit="0" vertical="center" wrapText="0"/>
    </xf>
    <xf borderId="4" fillId="8" fontId="22" numFmtId="0" xfId="0" applyAlignment="1" applyBorder="1" applyFont="1">
      <alignment horizontal="center" shrinkToFit="0" vertical="center" wrapText="0"/>
    </xf>
    <xf borderId="17" fillId="0" fontId="2" numFmtId="0" xfId="0" applyBorder="1" applyFont="1"/>
    <xf borderId="4" fillId="9" fontId="23" numFmtId="0" xfId="0" applyAlignment="1" applyBorder="1" applyFont="1">
      <alignment horizontal="center" shrinkToFit="0" vertical="center" wrapText="0"/>
    </xf>
    <xf borderId="4" fillId="15" fontId="24" numFmtId="0" xfId="0" applyAlignment="1" applyBorder="1" applyFont="1">
      <alignment horizontal="center" shrinkToFit="0" vertical="center" wrapText="0"/>
    </xf>
    <xf borderId="4" fillId="19" fontId="25" numFmtId="0" xfId="0" applyAlignment="1" applyBorder="1" applyFill="1" applyFont="1">
      <alignment horizontal="center" shrinkToFit="0" vertical="center" wrapText="0"/>
    </xf>
    <xf borderId="18" fillId="8" fontId="26" numFmtId="164" xfId="0" applyAlignment="1" applyBorder="1" applyFont="1" applyNumberFormat="1">
      <alignment horizontal="center" shrinkToFit="0" vertical="center" wrapText="0"/>
    </xf>
    <xf borderId="19" fillId="0" fontId="2" numFmtId="0" xfId="0" applyBorder="1" applyFont="1"/>
    <xf borderId="20" fillId="0" fontId="2" numFmtId="0" xfId="0" applyBorder="1" applyFont="1"/>
    <xf borderId="18" fillId="9" fontId="27" numFmtId="164" xfId="0" applyAlignment="1" applyBorder="1" applyFont="1" applyNumberFormat="1">
      <alignment horizontal="center" shrinkToFit="0" vertical="center" wrapText="0"/>
    </xf>
    <xf borderId="18" fillId="15" fontId="28" numFmtId="164" xfId="0" applyAlignment="1" applyBorder="1" applyFont="1" applyNumberFormat="1">
      <alignment horizontal="center" shrinkToFit="0" vertical="center" wrapText="0"/>
    </xf>
    <xf borderId="18" fillId="19" fontId="29" numFmtId="165" xfId="0" applyAlignment="1" applyBorder="1" applyFont="1" applyNumberFormat="1">
      <alignment horizontal="center" shrinkToFit="0" vertical="center" wrapText="0"/>
    </xf>
    <xf borderId="21" fillId="0" fontId="2" numFmtId="0" xfId="0" applyBorder="1" applyFont="1"/>
    <xf borderId="22" fillId="0" fontId="2" numFmtId="0" xfId="0" applyBorder="1" applyFont="1"/>
    <xf borderId="23" fillId="0" fontId="2" numFmtId="0" xfId="0" applyBorder="1" applyFont="1"/>
    <xf borderId="24" fillId="2" fontId="5" numFmtId="0" xfId="0" applyAlignment="1" applyBorder="1" applyFont="1">
      <alignment horizontal="center" shrinkToFit="0" vertical="bottom" wrapText="0"/>
    </xf>
    <xf borderId="24" fillId="2" fontId="14" numFmtId="0" xfId="0" applyAlignment="1" applyBorder="1" applyFont="1">
      <alignment shrinkToFit="0" vertical="bottom" wrapText="0"/>
    </xf>
    <xf borderId="0" fillId="0" fontId="19" numFmtId="0" xfId="0" applyFont="1"/>
    <xf borderId="0" fillId="0" fontId="14" numFmtId="164" xfId="0" applyAlignment="1" applyFont="1" applyNumberFormat="1">
      <alignment shrinkToFit="0" vertical="bottom" wrapText="0"/>
    </xf>
    <xf borderId="1" fillId="7" fontId="21" numFmtId="0" xfId="0" applyAlignment="1" applyBorder="1" applyFont="1">
      <alignment horizontal="center" shrinkToFit="0" vertical="center" wrapText="0"/>
    </xf>
    <xf borderId="1" fillId="14" fontId="30" numFmtId="0" xfId="0" applyAlignment="1" applyBorder="1" applyFont="1">
      <alignment horizontal="left" shrinkToFit="0" vertical="center" wrapText="0"/>
    </xf>
    <xf borderId="1" fillId="20" fontId="31" numFmtId="0" xfId="0" applyAlignment="1" applyBorder="1" applyFill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1" fillId="18" fontId="30" numFmtId="0" xfId="0" applyAlignment="1" applyBorder="1" applyFont="1">
      <alignment horizontal="left" shrinkToFit="0" vertical="center" wrapText="0"/>
    </xf>
    <xf borderId="1" fillId="19" fontId="30" numFmtId="0" xfId="0" applyAlignment="1" applyBorder="1" applyFont="1">
      <alignment horizontal="left" shrinkToFit="0" vertical="center" wrapText="0"/>
    </xf>
    <xf borderId="1" fillId="8" fontId="30" numFmtId="0" xfId="0" applyAlignment="1" applyBorder="1" applyFont="1">
      <alignment horizontal="left" shrinkToFit="0" vertical="center" wrapText="0"/>
    </xf>
    <xf borderId="1" fillId="7" fontId="18" numFmtId="0" xfId="0" applyAlignment="1" applyBorder="1" applyFont="1">
      <alignment horizontal="center" shrinkToFit="0" vertical="bottom" wrapText="0"/>
    </xf>
    <xf borderId="7" fillId="21" fontId="5" numFmtId="0" xfId="0" applyAlignment="1" applyBorder="1" applyFill="1" applyFont="1">
      <alignment horizontal="center" shrinkToFit="0" vertical="center" wrapText="0"/>
    </xf>
    <xf borderId="10" fillId="22" fontId="32" numFmtId="0" xfId="0" applyAlignment="1" applyBorder="1" applyFill="1" applyFont="1">
      <alignment horizontal="left" shrinkToFit="0" vertical="center" wrapText="0"/>
    </xf>
    <xf borderId="10" fillId="22" fontId="32" numFmtId="164" xfId="0" applyAlignment="1" applyBorder="1" applyFont="1" applyNumberFormat="1">
      <alignment horizontal="right" shrinkToFit="0" vertical="center" wrapText="0"/>
    </xf>
    <xf borderId="8" fillId="22" fontId="15" numFmtId="0" xfId="0" applyAlignment="1" applyBorder="1" applyFont="1">
      <alignment horizontal="left" shrinkToFit="0" vertical="center" wrapText="0"/>
    </xf>
    <xf borderId="25" fillId="0" fontId="2" numFmtId="0" xfId="0" applyBorder="1" applyFont="1"/>
    <xf borderId="10" fillId="9" fontId="32" numFmtId="0" xfId="0" applyAlignment="1" applyBorder="1" applyFont="1">
      <alignment horizontal="left" shrinkToFit="0" vertical="center" wrapText="0"/>
    </xf>
    <xf borderId="10" fillId="9" fontId="10" numFmtId="164" xfId="0" applyAlignment="1" applyBorder="1" applyFont="1" applyNumberFormat="1">
      <alignment horizontal="right" shrinkToFit="0" vertical="center" wrapText="0"/>
    </xf>
    <xf borderId="8" fillId="9" fontId="15" numFmtId="0" xfId="0" applyAlignment="1" applyBorder="1" applyFont="1">
      <alignment horizontal="left" shrinkToFit="0" vertical="center" wrapText="0"/>
    </xf>
    <xf borderId="10" fillId="15" fontId="32" numFmtId="0" xfId="0" applyAlignment="1" applyBorder="1" applyFont="1">
      <alignment horizontal="left" shrinkToFit="0" vertical="center" wrapText="0"/>
    </xf>
    <xf borderId="10" fillId="15" fontId="17" numFmtId="164" xfId="0" applyAlignment="1" applyBorder="1" applyFont="1" applyNumberFormat="1">
      <alignment horizontal="right" shrinkToFit="0" vertical="center" wrapText="0"/>
    </xf>
    <xf borderId="8" fillId="15" fontId="15" numFmtId="0" xfId="0" applyAlignment="1" applyBorder="1" applyFont="1">
      <alignment horizontal="left" shrinkToFit="0" vertical="center" wrapText="0"/>
    </xf>
    <xf borderId="1" fillId="8" fontId="33" numFmtId="0" xfId="0" applyAlignment="1" applyBorder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Структура активов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'📊 Структура'!$B$6</c:f>
            </c:strRef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58D68D"/>
              </a:solidFill>
            </c:spPr>
          </c:dPt>
          <c:dPt>
            <c:idx val="2"/>
            <c:spPr>
              <a:solidFill>
                <a:srgbClr val="1E8449"/>
              </a:solidFill>
            </c:spPr>
          </c:dPt>
          <c:dPt>
            <c:idx val="3"/>
            <c:spPr>
              <a:solidFill>
                <a:srgbClr val="2980B9"/>
              </a:solidFill>
            </c:spPr>
          </c:dPt>
          <c:dPt>
            <c:idx val="4"/>
            <c:spPr>
              <a:solidFill>
                <a:srgbClr val="85C1E9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Структура'!$A$7:$A$11</c:f>
            </c:strRef>
          </c:cat>
          <c:val>
            <c:numRef>
              <c:f>'📊 Структура'!$B$7:$B$11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Источники средств: обязательства vs капитал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'📊 Структура'!$E$6</c:f>
            </c:strRef>
          </c:tx>
          <c:dPt>
            <c:idx val="0"/>
            <c:spPr>
              <a:solidFill>
                <a:srgbClr val="3498DB"/>
              </a:solidFill>
            </c:spPr>
          </c:dPt>
          <c:dPt>
            <c:idx val="1"/>
            <c:spPr>
              <a:solidFill>
                <a:srgbClr val="85C1E9"/>
              </a:solidFill>
            </c:spPr>
          </c:dPt>
          <c:dPt>
            <c:idx val="2"/>
            <c:spPr>
              <a:solidFill>
                <a:srgbClr val="8E44AD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Структура'!$D$7:$D$9</c:f>
            </c:strRef>
          </c:cat>
          <c:val>
            <c:numRef>
              <c:f>'📊 Структура'!$E$7:$E$9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 sz="1300">
                <a:solidFill>
                  <a:srgbClr val="757575"/>
                </a:solidFill>
                <a:latin typeface="Arial"/>
              </a:defRPr>
            </a:pPr>
            <a:r>
              <a:rPr b="0" i="0" sz="1300">
                <a:solidFill>
                  <a:srgbClr val="757575"/>
                </a:solidFill>
                <a:latin typeface="Arial"/>
              </a:rPr>
              <a:t>Баланс сходится: Активы = Пассивы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Сумма</c:v>
          </c:tx>
          <c:spPr>
            <a:solidFill>
              <a:srgbClr val="F9E79F"/>
            </a:solidFill>
            <a:ln cmpd="sng">
              <a:noFill/>
            </a:ln>
          </c:spPr>
          <c:dPt>
            <c:idx val="0"/>
            <c:spPr>
              <a:solidFill>
                <a:srgbClr val="27AE60"/>
              </a:solidFill>
              <a:ln cmpd="sng">
                <a:noFill/>
              </a:ln>
            </c:spPr>
          </c:dPt>
          <c:dPt>
            <c:idx val="1"/>
            <c:spPr>
              <a:solidFill>
                <a:srgbClr val="2980B9"/>
              </a:solidFill>
              <a:ln cmpd="sng">
                <a:noFill/>
              </a:ln>
            </c:spPr>
          </c:dPt>
          <c:cat>
            <c:strRef>
              <c:f>'📊 Структура'!$G$7:$G$8</c:f>
            </c:strRef>
          </c:cat>
          <c:val>
            <c:numRef>
              <c:f>'📊 Структура'!$H$7:$H$8</c:f>
              <c:numCache/>
            </c:numRef>
          </c:val>
        </c:ser>
        <c:axId val="1554526062"/>
        <c:axId val="304907918"/>
      </c:barChart>
      <c:catAx>
        <c:axId val="15545260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304907918"/>
      </c:catAx>
      <c:valAx>
        <c:axId val="3049079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i="0" sz="1300">
                    <a:solidFill>
                      <a:srgbClr val="000000"/>
                    </a:solidFill>
                    <a:latin typeface="Arial"/>
                  </a:defRPr>
                </a:pPr>
                <a:r>
                  <a:rPr b="0" i="0" sz="1300">
                    <a:solidFill>
                      <a:srgbClr val="000000"/>
                    </a:solidFill>
                    <a:latin typeface="Arial"/>
                  </a:rPr>
                  <a:t>сум</a:t>
                </a:r>
              </a:p>
            </c:rich>
          </c:tx>
          <c:overlay val="0"/>
        </c:title>
        <c:numFmt formatCode="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4526062"/>
      </c:valAx>
      <c:spPr>
        <a:solidFill>
          <a:srgbClr val="FFFFFF"/>
        </a:solidFill>
      </c:spPr>
    </c:plotArea>
    <c:plotVisOnly val="1"/>
  </c:chart>
  <c:spPr>
    <a:solidFill>
      <a:srgbClr val="FFFFFF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11</xdr:row>
      <xdr:rowOff>104775</xdr:rowOff>
    </xdr:from>
    <xdr:ext cx="5000625" cy="3762375"/>
    <xdr:graphicFrame>
      <xdr:nvGraphicFramePr>
        <xdr:cNvPr id="1" name="Chart 1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923925</xdr:colOff>
      <xdr:row>11</xdr:row>
      <xdr:rowOff>104775</xdr:rowOff>
    </xdr:from>
    <xdr:ext cx="4467225" cy="3762375"/>
    <xdr:graphicFrame>
      <xdr:nvGraphicFramePr>
        <xdr:cNvPr id="2" name="Chart 2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10</xdr:col>
      <xdr:colOff>914400</xdr:colOff>
      <xdr:row>11</xdr:row>
      <xdr:rowOff>104775</xdr:rowOff>
    </xdr:from>
    <xdr:ext cx="5219700" cy="3762375"/>
    <xdr:graphicFrame>
      <xdr:nvGraphicFramePr>
        <xdr:cNvPr id="3" name="Chart 3" title="Диаграмма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0.0"/>
    <col customWidth="1" min="2" max="2" width="14.29"/>
    <col customWidth="1" min="3" max="3" width="16.0"/>
    <col customWidth="1" min="4" max="4" width="30.0"/>
    <col customWidth="1" min="5" max="5" width="19.71"/>
    <col customWidth="1" min="6" max="6" width="23.57"/>
    <col customWidth="1" min="7" max="7" width="12.57"/>
    <col customWidth="1" min="8" max="26" width="8.71"/>
  </cols>
  <sheetData>
    <row r="1">
      <c r="A1" s="1" t="s">
        <v>0</v>
      </c>
      <c r="B1" s="2"/>
      <c r="C1" s="2"/>
      <c r="D1" s="2"/>
      <c r="E1" s="2"/>
      <c r="F1" s="3"/>
    </row>
    <row r="2">
      <c r="A2" s="4" t="s">
        <v>1</v>
      </c>
      <c r="B2" s="2"/>
      <c r="C2" s="2"/>
      <c r="D2" s="2"/>
      <c r="E2" s="2"/>
      <c r="F2" s="3"/>
    </row>
    <row r="4">
      <c r="A4" s="5" t="s">
        <v>2</v>
      </c>
      <c r="B4" s="6"/>
      <c r="C4" s="7"/>
      <c r="D4" s="8" t="s">
        <v>3</v>
      </c>
      <c r="E4" s="6"/>
      <c r="F4" s="7"/>
    </row>
    <row r="5">
      <c r="A5" s="9" t="s">
        <v>4</v>
      </c>
      <c r="B5" s="7"/>
      <c r="C5" s="10" t="s">
        <v>5</v>
      </c>
      <c r="D5" s="11" t="s">
        <v>4</v>
      </c>
      <c r="E5" s="7"/>
      <c r="F5" s="12" t="s">
        <v>5</v>
      </c>
    </row>
    <row r="6">
      <c r="A6" s="13" t="s">
        <v>6</v>
      </c>
      <c r="B6" s="2"/>
      <c r="C6" s="3"/>
      <c r="D6" s="14" t="s">
        <v>7</v>
      </c>
      <c r="E6" s="2"/>
      <c r="F6" s="3"/>
    </row>
    <row r="7">
      <c r="A7" s="15" t="s">
        <v>8</v>
      </c>
      <c r="B7" s="16"/>
      <c r="C7" s="17">
        <f>2793500-100</f>
        <v>2793400</v>
      </c>
      <c r="D7" s="18" t="s">
        <v>9</v>
      </c>
      <c r="E7" s="16"/>
      <c r="F7" s="19">
        <v>900000.0</v>
      </c>
    </row>
    <row r="8">
      <c r="A8" s="20" t="s">
        <v>10</v>
      </c>
      <c r="B8" s="16"/>
      <c r="C8" s="21">
        <f>1500000</f>
        <v>1500000</v>
      </c>
      <c r="D8" s="20" t="s">
        <v>11</v>
      </c>
      <c r="E8" s="16"/>
      <c r="F8" s="22">
        <f>268000-100</f>
        <v>267900</v>
      </c>
    </row>
    <row r="9">
      <c r="A9" s="15" t="s">
        <v>12</v>
      </c>
      <c r="B9" s="16"/>
      <c r="C9" s="17">
        <v>1200000.0</v>
      </c>
      <c r="D9" s="18" t="s">
        <v>13</v>
      </c>
      <c r="E9" s="16"/>
      <c r="F9" s="19">
        <v>1150000.0</v>
      </c>
    </row>
    <row r="10">
      <c r="A10" s="23" t="s">
        <v>14</v>
      </c>
      <c r="B10" s="16"/>
      <c r="C10" s="24">
        <f>SUM(C7:C9)</f>
        <v>5493400</v>
      </c>
      <c r="D10" s="25" t="s">
        <v>15</v>
      </c>
      <c r="E10" s="16"/>
      <c r="F10" s="26">
        <f>SUM(F7:F9)</f>
        <v>2317900</v>
      </c>
    </row>
    <row r="11">
      <c r="A11" s="27"/>
    </row>
    <row r="12">
      <c r="A12" s="13" t="s">
        <v>16</v>
      </c>
      <c r="B12" s="2"/>
      <c r="C12" s="3"/>
      <c r="D12" s="14" t="s">
        <v>17</v>
      </c>
      <c r="E12" s="2"/>
      <c r="F12" s="3"/>
    </row>
    <row r="13">
      <c r="A13" s="15" t="s">
        <v>18</v>
      </c>
      <c r="B13" s="16"/>
      <c r="C13" s="17">
        <v>8500000.0</v>
      </c>
      <c r="D13" s="18" t="s">
        <v>19</v>
      </c>
      <c r="E13" s="16"/>
      <c r="F13" s="19">
        <v>6000000.0</v>
      </c>
    </row>
    <row r="14">
      <c r="A14" s="20" t="s">
        <v>20</v>
      </c>
      <c r="B14" s="16"/>
      <c r="C14" s="21">
        <v>4000000.0</v>
      </c>
      <c r="D14" s="28"/>
      <c r="E14" s="16"/>
      <c r="F14" s="29"/>
    </row>
    <row r="15">
      <c r="A15" s="23" t="s">
        <v>21</v>
      </c>
      <c r="B15" s="16"/>
      <c r="C15" s="24">
        <f>SUM(C13:C14)</f>
        <v>12500000</v>
      </c>
      <c r="D15" s="25" t="s">
        <v>22</v>
      </c>
      <c r="E15" s="16"/>
      <c r="F15" s="26">
        <f>SUM(F13:F14)</f>
        <v>6000000</v>
      </c>
    </row>
    <row r="16">
      <c r="A16" s="27"/>
    </row>
    <row r="17">
      <c r="D17" s="30" t="s">
        <v>23</v>
      </c>
      <c r="E17" s="2"/>
      <c r="F17" s="3"/>
    </row>
    <row r="18">
      <c r="D18" s="31" t="s">
        <v>24</v>
      </c>
      <c r="E18" s="16"/>
      <c r="F18" s="32">
        <v>5000000.0</v>
      </c>
    </row>
    <row r="19">
      <c r="D19" s="20" t="s">
        <v>25</v>
      </c>
      <c r="E19" s="16"/>
      <c r="F19" s="33">
        <f>4675500+1000000</f>
        <v>5675500</v>
      </c>
    </row>
    <row r="20">
      <c r="D20" s="34" t="s">
        <v>26</v>
      </c>
      <c r="E20" s="16"/>
      <c r="F20" s="35">
        <v>9675500.0</v>
      </c>
    </row>
    <row r="21">
      <c r="A21" s="27"/>
    </row>
    <row r="22">
      <c r="A22" s="36" t="s">
        <v>27</v>
      </c>
      <c r="B22" s="37"/>
      <c r="C22" s="38">
        <f>SUM(C10,C15)</f>
        <v>17993400</v>
      </c>
      <c r="D22" s="39" t="s">
        <v>28</v>
      </c>
      <c r="E22" s="40"/>
      <c r="F22" s="41">
        <f>SUM(F10,F15,F20)</f>
        <v>17993400</v>
      </c>
      <c r="G22" s="42">
        <f>F22-C22</f>
        <v>0</v>
      </c>
    </row>
    <row r="23">
      <c r="A23" s="27"/>
    </row>
    <row r="24">
      <c r="A24" s="43" t="s">
        <v>29</v>
      </c>
      <c r="B24" s="2"/>
      <c r="C24" s="2"/>
      <c r="D24" s="2"/>
      <c r="E24" s="2"/>
      <c r="F24" s="3"/>
    </row>
    <row r="25">
      <c r="A25" s="27"/>
    </row>
    <row r="26">
      <c r="A26" s="44" t="s">
        <v>30</v>
      </c>
    </row>
  </sheetData>
  <mergeCells count="37">
    <mergeCell ref="A1:F1"/>
    <mergeCell ref="A2:F2"/>
    <mergeCell ref="A4:C4"/>
    <mergeCell ref="D4:F4"/>
    <mergeCell ref="A5:B5"/>
    <mergeCell ref="D5:E5"/>
    <mergeCell ref="D6:F6"/>
    <mergeCell ref="D9:E9"/>
    <mergeCell ref="D10:E10"/>
    <mergeCell ref="A6:C6"/>
    <mergeCell ref="A7:B7"/>
    <mergeCell ref="D7:E7"/>
    <mergeCell ref="A8:B8"/>
    <mergeCell ref="D8:E8"/>
    <mergeCell ref="A9:B9"/>
    <mergeCell ref="A10:B10"/>
    <mergeCell ref="D14:E14"/>
    <mergeCell ref="D15:E15"/>
    <mergeCell ref="A11:F11"/>
    <mergeCell ref="A12:C12"/>
    <mergeCell ref="D12:F12"/>
    <mergeCell ref="A13:B13"/>
    <mergeCell ref="D13:E13"/>
    <mergeCell ref="A14:B14"/>
    <mergeCell ref="A15:B15"/>
    <mergeCell ref="D22:E22"/>
    <mergeCell ref="A23:F23"/>
    <mergeCell ref="A24:F24"/>
    <mergeCell ref="A25:F25"/>
    <mergeCell ref="A26:F26"/>
    <mergeCell ref="A16:F16"/>
    <mergeCell ref="D17:F17"/>
    <mergeCell ref="D18:E18"/>
    <mergeCell ref="D19:E19"/>
    <mergeCell ref="D20:E20"/>
    <mergeCell ref="A21:F21"/>
    <mergeCell ref="A22:B22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.0"/>
    <col customWidth="1" min="4" max="4" width="24.0"/>
    <col customWidth="1" min="5" max="5" width="16.0"/>
    <col customWidth="1" min="6" max="6" width="2.0"/>
    <col customWidth="1" min="7" max="7" width="12.0"/>
    <col customWidth="1" min="8" max="8" width="16.0"/>
    <col customWidth="1" min="9" max="9" width="2.0"/>
    <col customWidth="1" min="10" max="10" width="22.0"/>
    <col customWidth="1" min="11" max="11" width="16.0"/>
    <col customWidth="1" min="12" max="26" width="8.71"/>
  </cols>
  <sheetData>
    <row r="1" ht="27.75" customHeight="1">
      <c r="A1" s="45" t="s">
        <v>31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ht="18.0" customHeight="1">
      <c r="A2" s="46" t="s">
        <v>32</v>
      </c>
      <c r="B2" s="6"/>
      <c r="C2" s="47"/>
      <c r="D2" s="48" t="s">
        <v>33</v>
      </c>
      <c r="E2" s="6"/>
      <c r="F2" s="47"/>
      <c r="G2" s="49" t="s">
        <v>34</v>
      </c>
      <c r="H2" s="6"/>
      <c r="I2" s="47"/>
      <c r="J2" s="50" t="s">
        <v>35</v>
      </c>
      <c r="K2" s="6"/>
    </row>
    <row r="3" ht="24.0" customHeight="1">
      <c r="A3" s="51">
        <v>1.79935E7</v>
      </c>
      <c r="B3" s="52"/>
      <c r="C3" s="53"/>
      <c r="D3" s="54">
        <v>8318000.0</v>
      </c>
      <c r="E3" s="52"/>
      <c r="F3" s="53"/>
      <c r="G3" s="55">
        <v>9675500.0</v>
      </c>
      <c r="H3" s="52"/>
      <c r="I3" s="53"/>
      <c r="J3" s="56">
        <v>0.462278044849529</v>
      </c>
      <c r="K3" s="52"/>
    </row>
    <row r="4" ht="9.75" customHeight="1">
      <c r="A4" s="57"/>
      <c r="B4" s="58"/>
      <c r="C4" s="59"/>
      <c r="D4" s="57"/>
      <c r="E4" s="58"/>
      <c r="F4" s="59"/>
      <c r="G4" s="57"/>
      <c r="H4" s="58"/>
      <c r="I4" s="59"/>
      <c r="J4" s="57"/>
      <c r="K4" s="58"/>
    </row>
    <row r="5" ht="12.0" customHeight="1"/>
    <row r="6">
      <c r="A6" s="60" t="s">
        <v>36</v>
      </c>
      <c r="B6" s="60" t="s">
        <v>37</v>
      </c>
      <c r="D6" s="60" t="s">
        <v>38</v>
      </c>
      <c r="E6" s="60" t="s">
        <v>37</v>
      </c>
      <c r="G6" s="61"/>
      <c r="H6" s="60" t="s">
        <v>37</v>
      </c>
    </row>
    <row r="7">
      <c r="A7" s="62" t="s">
        <v>39</v>
      </c>
      <c r="B7" s="63">
        <v>2793500.0</v>
      </c>
      <c r="D7" s="62" t="s">
        <v>40</v>
      </c>
      <c r="E7" s="63">
        <v>2318000.0</v>
      </c>
      <c r="G7" s="62" t="s">
        <v>41</v>
      </c>
      <c r="H7" s="63">
        <v>1.79935E7</v>
      </c>
    </row>
    <row r="8">
      <c r="A8" s="62" t="s">
        <v>42</v>
      </c>
      <c r="B8" s="63">
        <v>1500000.0</v>
      </c>
      <c r="D8" s="62" t="s">
        <v>43</v>
      </c>
      <c r="E8" s="63">
        <v>6000000.0</v>
      </c>
      <c r="G8" s="62" t="s">
        <v>44</v>
      </c>
      <c r="H8" s="63">
        <v>1.79935E7</v>
      </c>
    </row>
    <row r="9">
      <c r="A9" s="62" t="s">
        <v>45</v>
      </c>
      <c r="B9" s="63">
        <v>1200000.0</v>
      </c>
      <c r="D9" s="62" t="s">
        <v>46</v>
      </c>
      <c r="E9" s="63">
        <v>9675500.0</v>
      </c>
    </row>
    <row r="10">
      <c r="A10" s="62" t="s">
        <v>47</v>
      </c>
      <c r="B10" s="63">
        <v>8500000.0</v>
      </c>
    </row>
    <row r="11">
      <c r="A11" s="62" t="s">
        <v>48</v>
      </c>
      <c r="B11" s="63">
        <v>4000000.0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G3:I4"/>
    <mergeCell ref="J3:K4"/>
    <mergeCell ref="A1:K1"/>
    <mergeCell ref="A2:C2"/>
    <mergeCell ref="D2:F2"/>
    <mergeCell ref="G2:I2"/>
    <mergeCell ref="J2:K2"/>
    <mergeCell ref="A3:C4"/>
    <mergeCell ref="D3:F4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5.57"/>
    <col customWidth="1" min="2" max="2" width="30.43"/>
    <col customWidth="1" min="3" max="3" width="35.57"/>
    <col customWidth="1" min="4" max="4" width="29.29"/>
    <col customWidth="1" min="5" max="5" width="26.57"/>
    <col customWidth="1" min="6" max="26" width="8.71"/>
  </cols>
  <sheetData>
    <row r="1" ht="25.5" customHeight="1">
      <c r="A1" s="64" t="s">
        <v>49</v>
      </c>
      <c r="B1" s="2"/>
      <c r="C1" s="2"/>
      <c r="D1" s="2"/>
      <c r="E1" s="3"/>
    </row>
    <row r="2" ht="7.5" customHeight="1"/>
    <row r="3" ht="21.75" customHeight="1">
      <c r="A3" s="65" t="s">
        <v>50</v>
      </c>
      <c r="B3" s="2"/>
      <c r="C3" s="2"/>
      <c r="D3" s="2"/>
      <c r="E3" s="3"/>
    </row>
    <row r="4">
      <c r="B4" s="66" t="s">
        <v>51</v>
      </c>
      <c r="C4" s="2"/>
      <c r="D4" s="2"/>
      <c r="E4" s="3"/>
    </row>
    <row r="5" ht="18.0" customHeight="1">
      <c r="B5" s="67" t="s">
        <v>52</v>
      </c>
    </row>
    <row r="6" ht="18.0" customHeight="1">
      <c r="B6" s="67" t="s">
        <v>53</v>
      </c>
    </row>
    <row r="7" ht="7.5" customHeight="1"/>
    <row r="8" ht="21.75" customHeight="1">
      <c r="A8" s="68" t="s">
        <v>54</v>
      </c>
      <c r="B8" s="2"/>
      <c r="C8" s="2"/>
      <c r="D8" s="2"/>
      <c r="E8" s="3"/>
    </row>
    <row r="9" ht="18.0" customHeight="1">
      <c r="B9" s="67" t="s">
        <v>55</v>
      </c>
    </row>
    <row r="10" ht="18.0" customHeight="1">
      <c r="B10" s="67" t="s">
        <v>56</v>
      </c>
    </row>
    <row r="11" ht="18.0" customHeight="1">
      <c r="B11" s="67" t="s">
        <v>57</v>
      </c>
    </row>
    <row r="12" ht="7.5" customHeight="1"/>
    <row r="13" ht="21.75" customHeight="1">
      <c r="A13" s="69" t="s">
        <v>58</v>
      </c>
      <c r="B13" s="2"/>
      <c r="C13" s="2"/>
      <c r="D13" s="2"/>
      <c r="E13" s="3"/>
    </row>
    <row r="14" ht="18.0" customHeight="1">
      <c r="B14" s="67" t="s">
        <v>59</v>
      </c>
    </row>
    <row r="15" ht="18.0" customHeight="1">
      <c r="B15" s="67" t="s">
        <v>60</v>
      </c>
    </row>
    <row r="16" ht="18.0" customHeight="1">
      <c r="B16" s="67" t="s">
        <v>61</v>
      </c>
    </row>
    <row r="17" ht="7.5" customHeight="1"/>
    <row r="18" ht="21.75" customHeight="1">
      <c r="A18" s="70" t="s">
        <v>62</v>
      </c>
      <c r="B18" s="2"/>
      <c r="C18" s="2"/>
      <c r="D18" s="2"/>
      <c r="E18" s="3"/>
    </row>
    <row r="19" ht="18.0" customHeight="1">
      <c r="B19" s="67" t="s">
        <v>63</v>
      </c>
    </row>
    <row r="20" ht="18.0" customHeight="1">
      <c r="B20" s="67" t="s">
        <v>64</v>
      </c>
    </row>
    <row r="21" ht="18.0" customHeight="1">
      <c r="B21" s="67" t="s">
        <v>65</v>
      </c>
    </row>
    <row r="22" ht="7.5" customHeight="1"/>
    <row r="23" ht="15.75" customHeight="1"/>
    <row r="24" ht="21.75" customHeight="1">
      <c r="A24" s="71" t="s">
        <v>66</v>
      </c>
      <c r="B24" s="2"/>
      <c r="C24" s="2"/>
      <c r="D24" s="2"/>
      <c r="E24" s="3"/>
    </row>
    <row r="25" ht="19.5" customHeight="1">
      <c r="A25" s="72" t="s">
        <v>67</v>
      </c>
      <c r="B25" s="72" t="s">
        <v>5</v>
      </c>
      <c r="C25" s="27"/>
    </row>
    <row r="26" ht="19.5" customHeight="1">
      <c r="A26" s="73" t="s">
        <v>68</v>
      </c>
      <c r="B26" s="74">
        <v>1.79935E7</v>
      </c>
      <c r="C26" s="75"/>
      <c r="D26" s="76"/>
      <c r="E26" s="16"/>
    </row>
    <row r="27" ht="19.5" customHeight="1">
      <c r="A27" s="77" t="s">
        <v>69</v>
      </c>
      <c r="B27" s="78">
        <v>8318000.0</v>
      </c>
      <c r="C27" s="79"/>
      <c r="D27" s="76"/>
      <c r="E27" s="16"/>
    </row>
    <row r="28" ht="19.5" customHeight="1">
      <c r="A28" s="80" t="s">
        <v>70</v>
      </c>
      <c r="B28" s="81">
        <v>9675500.0</v>
      </c>
      <c r="C28" s="82"/>
      <c r="D28" s="76"/>
      <c r="E28" s="16"/>
    </row>
    <row r="29" ht="15.75" customHeight="1"/>
    <row r="30">
      <c r="A30" s="83" t="s">
        <v>71</v>
      </c>
      <c r="B30" s="2"/>
      <c r="C30" s="2"/>
      <c r="D30" s="2"/>
      <c r="E30" s="3"/>
    </row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">
    <mergeCell ref="A1:E1"/>
    <mergeCell ref="A3:E3"/>
    <mergeCell ref="B4:E4"/>
    <mergeCell ref="B5:E5"/>
    <mergeCell ref="B6:E6"/>
    <mergeCell ref="A8:E8"/>
    <mergeCell ref="B9:E9"/>
    <mergeCell ref="B10:E10"/>
    <mergeCell ref="B11:E11"/>
    <mergeCell ref="A13:E13"/>
    <mergeCell ref="B14:E14"/>
    <mergeCell ref="B15:E15"/>
    <mergeCell ref="B16:E16"/>
    <mergeCell ref="A18:E18"/>
    <mergeCell ref="C28:E28"/>
    <mergeCell ref="A30:E30"/>
    <mergeCell ref="B19:E19"/>
    <mergeCell ref="B20:E20"/>
    <mergeCell ref="B21:E21"/>
    <mergeCell ref="A24:E24"/>
    <mergeCell ref="C25:E25"/>
    <mergeCell ref="C26:E26"/>
    <mergeCell ref="C27:E27"/>
  </mergeCells>
  <printOptions/>
  <pageMargins bottom="1.0" footer="0.0" header="0.0" left="0.75" right="0.75" top="1.0"/>
  <pageSetup paperSize="9" orientation="portrait"/>
  <drawing r:id="rId1"/>
</worksheet>
</file>