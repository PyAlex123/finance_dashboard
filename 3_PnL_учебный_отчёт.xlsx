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Отчёт P&amp;L" sheetId="1" r:id="rId5"/>
    <sheet state="visible" name="📈 Дашборд" sheetId="2" r:id="rId6"/>
  </sheets>
  <definedNames/>
  <calcPr/>
</workbook>
</file>

<file path=xl/sharedStrings.xml><?xml version="1.0" encoding="utf-8"?>
<sst xmlns="http://schemas.openxmlformats.org/spreadsheetml/2006/main" count="68" uniqueCount="54">
  <si>
    <t>УЧЕБНЫЙ P&amp;L — ООО «Языковая студия» · Январь–Март 2025</t>
  </si>
  <si>
    <t>📌 P&amp;L показывает движение «по начислению» — доход признаётся, когда услуга оказана (а не когда пришли деньги, как в ДДС). Поэтому цифры P&amp;L и ДДС за один месяц обычно не совпадают.</t>
  </si>
  <si>
    <t>Показатель</t>
  </si>
  <si>
    <t>Январь</t>
  </si>
  <si>
    <t>Февраль</t>
  </si>
  <si>
    <t>Март</t>
  </si>
  <si>
    <t>ИТОГО за квартал</t>
  </si>
  <si>
    <t>% от выручки
(за квартал)</t>
  </si>
  <si>
    <t>▌ ВЫРУЧКА</t>
  </si>
  <si>
    <t>Групповые курсы</t>
  </si>
  <si>
    <t>Индивидуальные занятия</t>
  </si>
  <si>
    <t>B2B консультации</t>
  </si>
  <si>
    <t>ИТОГО ВЫРУЧКА</t>
  </si>
  <si>
    <t>100.0%</t>
  </si>
  <si>
    <t>▌ СЕБЕСТОИМОСТЬ (прямые затраты на услуги)</t>
  </si>
  <si>
    <t>Оплата приглашённым преподавателям (~35% выручки)</t>
  </si>
  <si>
    <t>ВАЛОВАЯ ПРИБЫЛЬ   =   Выручка − Себестоимость</t>
  </si>
  <si>
    <t>Валовая маржа — сколько остаётся «на круг» после прямых затрat на продукт</t>
  </si>
  <si>
    <t>▌ ОПЕРАЦИОННЫЕ РАСХОДЫ</t>
  </si>
  <si>
    <t>Оплата труда (штат)</t>
  </si>
  <si>
    <t>Аренда</t>
  </si>
  <si>
    <t>Маркетинг</t>
  </si>
  <si>
    <t>Офисные расходы</t>
  </si>
  <si>
    <t>Амортизация оборудования</t>
  </si>
  <si>
    <t>ИТОГО ОПЕРАЦИОННЫЕ РАСХОДЫ</t>
  </si>
  <si>
    <t>ОПЕРАЦИОННАЯ ПРИБЫЛЬ   =   Валовая прибыль − Опер. расходы</t>
  </si>
  <si>
    <t>Операционная маржа — зарабатывает ли бизнес на своей основной деятельности</t>
  </si>
  <si>
    <t>▌ ПРОЧИЕ СТАТЬИ</t>
  </si>
  <si>
    <t>Проценты по кредиту</t>
  </si>
  <si>
    <t>Прибыль до налогообложения</t>
  </si>
  <si>
    <t>Налог на прибыль (15%)</t>
  </si>
  <si>
    <t>ЧИСТАЯ ПРИБЫЛЬ   (то, что реально осталось бизнесу)</t>
  </si>
  <si>
    <t>Чистая маржа — итоговая «отдача» с каждой суммы заработанной выручки</t>
  </si>
  <si>
    <t>🔑 КЛЮЧЕВАЯ ИДЕЯ: Каждый уровень прибыли отвечает на свой вопрос — валовая показывает здоровье продукта, операционная — здоровье основной деятельности, чистая — итог с учётом всего. Выручка растёт каждый месяц (+36% за квартал), и при этом чистая маржа тоже растёт (16,4% → 19,3%) — это здоровый рост, в отличие от Кейса 2.</t>
  </si>
  <si>
    <t>ДАШБОРД P&amp;L — ООО «Языковая студия» · Январь–Март 2025</t>
  </si>
  <si>
    <t>ВЫРУЧКА ЗА КВАРТАЛ</t>
  </si>
  <si>
    <t>ВАЛОВАЯ МАРЖА</t>
  </si>
  <si>
    <t>ОПЕРАЦИОННАЯ МАРЖА</t>
  </si>
  <si>
    <t>ЧИСТАЯ МАРЖА (СРЕДН.)</t>
  </si>
  <si>
    <t>Месяц</t>
  </si>
  <si>
    <t>Выручка</t>
  </si>
  <si>
    <t>Расходы (с/с + опер.)</t>
  </si>
  <si>
    <t>Чистая прибыль</t>
  </si>
  <si>
    <t>Уровень</t>
  </si>
  <si>
    <t>Сумма за квартал</t>
  </si>
  <si>
    <t>Статья</t>
  </si>
  <si>
    <t>Сумма</t>
  </si>
  <si>
    <t>Валовая маржа</t>
  </si>
  <si>
    <t>Операционная маржа</t>
  </si>
  <si>
    <t>Чистая маржа</t>
  </si>
  <si>
    <t>Себестоимость (преподаватели)</t>
  </si>
  <si>
    <t>Валовая прибыль</t>
  </si>
  <si>
    <t>Операционная прибыль</t>
  </si>
  <si>
    <t>Амортизация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</si>
</sst>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0.0%"/>
  </numFmts>
  <fonts count="2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sz val="10.0"/>
      <color rgb="FF27AE60"/>
      <name val="Arial"/>
    </font>
    <font>
      <b/>
      <sz val="10.0"/>
      <color rgb="FF27AE60"/>
      <name val="Arial"/>
    </font>
    <font>
      <sz val="10.0"/>
      <color rgb="FF000000"/>
      <name val="Arial"/>
    </font>
    <font>
      <sz val="10.0"/>
      <color rgb="FFE74C3C"/>
      <name val="Arial"/>
    </font>
    <font>
      <b/>
      <sz val="10.0"/>
      <color rgb="FFE74C3C"/>
      <name val="Arial"/>
    </font>
    <font>
      <b/>
      <sz val="11.0"/>
      <color rgb="FF1F2D3D"/>
      <name val="Arial"/>
    </font>
    <font>
      <i/>
      <sz val="8.0"/>
      <color rgb="FF777777"/>
      <name val="Arial"/>
    </font>
    <font>
      <sz val="10.0"/>
      <color rgb="FF2980B9"/>
      <name val="Arial"/>
    </font>
    <font>
      <b/>
      <sz val="10.0"/>
      <color rgb="FF2980B9"/>
      <name val="Arial"/>
    </font>
    <font>
      <sz val="10.0"/>
      <color rgb="FF8E44AD"/>
      <name val="Arial"/>
    </font>
    <font>
      <b/>
      <sz val="10.0"/>
      <color rgb="FF8E44AD"/>
      <name val="Arial"/>
    </font>
    <font>
      <i/>
      <sz val="9.0"/>
      <color rgb="FF8E44AD"/>
      <name val="Arial"/>
    </font>
    <font>
      <sz val="9.0"/>
      <color rgb="FF8E44AD"/>
      <name val="Arial"/>
    </font>
    <font>
      <b/>
      <sz val="12.0"/>
      <color rgb="FFFFFFFF"/>
      <name val="Arial"/>
    </font>
    <font>
      <b/>
      <sz val="10.0"/>
      <color rgb="FF7D6608"/>
      <name val="Arial"/>
    </font>
    <font>
      <b/>
      <sz val="9.0"/>
      <color rgb="FF27AE60"/>
      <name val="Arial"/>
    </font>
    <font>
      <b/>
      <sz val="9.0"/>
      <color rgb="FFF39C12"/>
      <name val="Arial"/>
    </font>
    <font>
      <b/>
      <sz val="9.0"/>
      <color rgb="FFD68910"/>
      <name val="Arial"/>
    </font>
    <font>
      <b/>
      <sz val="9.0"/>
      <color rgb="FF8E44AD"/>
      <name val="Arial"/>
    </font>
    <font>
      <sz val="15.0"/>
      <color rgb="FF007700"/>
      <name val="Arial"/>
    </font>
    <font>
      <sz val="11.0"/>
      <color rgb="FF0077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DFEFE"/>
        <bgColor rgb="FFFDFEFE"/>
      </patternFill>
    </fill>
    <fill>
      <patternFill patternType="solid">
        <fgColor rgb="FF27AE60"/>
        <bgColor rgb="FF27AE60"/>
      </patternFill>
    </fill>
    <fill>
      <patternFill patternType="solid">
        <fgColor rgb="FFEAFAF1"/>
        <bgColor rgb="FFEAFAF1"/>
      </patternFill>
    </fill>
    <fill>
      <patternFill patternType="solid">
        <fgColor rgb="FFD5F5E3"/>
        <bgColor rgb="FFD5F5E3"/>
      </patternFill>
    </fill>
    <fill>
      <patternFill patternType="solid">
        <fgColor rgb="FFE74C3C"/>
        <bgColor rgb="FFE74C3C"/>
      </patternFill>
    </fill>
    <fill>
      <patternFill patternType="solid">
        <fgColor rgb="FFFDEDEC"/>
        <bgColor rgb="FFFDEDEC"/>
      </patternFill>
    </fill>
    <fill>
      <patternFill patternType="solid">
        <fgColor rgb="FFF9E79F"/>
        <bgColor rgb="FFF9E79F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F8C471"/>
        <bgColor rgb="FFF8C471"/>
      </patternFill>
    </fill>
    <fill>
      <patternFill patternType="solid">
        <fgColor rgb="FF8E44AD"/>
        <bgColor rgb="FF8E44AD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FEF9E7"/>
        <bgColor rgb="FFFEF9E7"/>
      </patternFill>
    </fill>
    <fill>
      <patternFill patternType="solid">
        <fgColor rgb="FFFEF5E7"/>
        <bgColor rgb="FFFEF5E7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</border>
    <border>
      <left style="medium">
        <color rgb="FFF39C12"/>
      </left>
      <right style="medium">
        <color rgb="FFF39C12"/>
      </right>
      <top style="medium">
        <color rgb="FFF39C12"/>
      </top>
      <bottom style="medium">
        <color rgb="FFF39C12"/>
      </bottom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</border>
    <border>
      <left style="thin">
        <color rgb="FFD2B4DE"/>
      </left>
      <right style="thin">
        <color rgb="FFD2B4DE"/>
      </right>
      <top style="thin">
        <color rgb="FFD2B4DE"/>
      </top>
      <bottom style="thin">
        <color rgb="FFD2B4DE"/>
      </bottom>
    </border>
    <border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4" fillId="2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center" wrapText="0"/>
    </xf>
    <xf borderId="4" fillId="4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5" fontId="7" numFmtId="0" xfId="0" applyAlignment="1" applyBorder="1" applyFill="1" applyFont="1">
      <alignment horizontal="left" shrinkToFit="0" vertical="center" wrapText="0"/>
    </xf>
    <xf borderId="5" fillId="5" fontId="7" numFmtId="164" xfId="0" applyAlignment="1" applyBorder="1" applyFont="1" applyNumberFormat="1">
      <alignment horizontal="right" shrinkToFit="0" vertical="center" wrapText="0"/>
    </xf>
    <xf borderId="5" fillId="0" fontId="8" numFmtId="164" xfId="0" applyAlignment="1" applyBorder="1" applyFont="1" applyNumberFormat="1">
      <alignment horizontal="right" shrinkToFit="0" vertical="center" wrapText="0"/>
    </xf>
    <xf borderId="5" fillId="5" fontId="8" numFmtId="164" xfId="0" applyAlignment="1" applyBorder="1" applyFont="1" applyNumberFormat="1">
      <alignment horizontal="right" shrinkToFit="0" vertical="center" wrapText="0"/>
    </xf>
    <xf borderId="5" fillId="5" fontId="9" numFmtId="10" xfId="0" applyAlignment="1" applyBorder="1" applyFont="1" applyNumberFormat="1">
      <alignment horizontal="center" shrinkToFit="0" vertical="center" wrapText="0"/>
    </xf>
    <xf borderId="5" fillId="6" fontId="7" numFmtId="0" xfId="0" applyAlignment="1" applyBorder="1" applyFill="1" applyFont="1">
      <alignment horizontal="left" shrinkToFit="0" vertical="center" wrapText="0"/>
    </xf>
    <xf borderId="5" fillId="6" fontId="7" numFmtId="164" xfId="0" applyAlignment="1" applyBorder="1" applyFont="1" applyNumberFormat="1">
      <alignment horizontal="right" shrinkToFit="0" vertical="center" wrapText="0"/>
    </xf>
    <xf borderId="5" fillId="6" fontId="8" numFmtId="164" xfId="0" applyAlignment="1" applyBorder="1" applyFont="1" applyNumberFormat="1">
      <alignment horizontal="right" shrinkToFit="0" vertical="center" wrapText="0"/>
    </xf>
    <xf borderId="6" fillId="4" fontId="6" numFmtId="0" xfId="0" applyAlignment="1" applyBorder="1" applyFont="1">
      <alignment horizontal="left" shrinkToFit="0" vertical="center" wrapText="0"/>
    </xf>
    <xf borderId="6" fillId="4" fontId="6" numFmtId="164" xfId="0" applyAlignment="1" applyBorder="1" applyFont="1" applyNumberFormat="1">
      <alignment horizontal="right" shrinkToFit="0" vertical="center" wrapText="0"/>
    </xf>
    <xf borderId="6" fillId="0" fontId="6" numFmtId="164" xfId="0" applyAlignment="1" applyBorder="1" applyFont="1" applyNumberFormat="1">
      <alignment horizontal="right" shrinkToFit="0" vertical="center" wrapText="0"/>
    </xf>
    <xf borderId="6" fillId="4" fontId="6" numFmtId="0" xfId="0" applyAlignment="1" applyBorder="1" applyFont="1">
      <alignment horizontal="righ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4" fillId="7" fontId="4" numFmtId="0" xfId="0" applyAlignment="1" applyBorder="1" applyFont="1">
      <alignment shrinkToFit="0" vertical="bottom" wrapText="0"/>
    </xf>
    <xf borderId="5" fillId="8" fontId="10" numFmtId="0" xfId="0" applyAlignment="1" applyBorder="1" applyFill="1" applyFont="1">
      <alignment horizontal="left" shrinkToFit="0" vertical="center" wrapText="0"/>
    </xf>
    <xf borderId="5" fillId="8" fontId="10" numFmtId="164" xfId="0" applyAlignment="1" applyBorder="1" applyFont="1" applyNumberFormat="1">
      <alignment horizontal="right" shrinkToFit="0" vertical="center" wrapText="0"/>
    </xf>
    <xf borderId="5" fillId="0" fontId="11" numFmtId="164" xfId="0" applyAlignment="1" applyBorder="1" applyFont="1" applyNumberFormat="1">
      <alignment horizontal="right" shrinkToFit="0" vertical="center" wrapText="0"/>
    </xf>
    <xf borderId="5" fillId="8" fontId="11" numFmtId="164" xfId="0" applyAlignment="1" applyBorder="1" applyFont="1" applyNumberFormat="1">
      <alignment horizontal="right" shrinkToFit="0" vertical="center" wrapText="0"/>
    </xf>
    <xf borderId="5" fillId="8" fontId="10" numFmtId="165" xfId="0" applyAlignment="1" applyBorder="1" applyFont="1" applyNumberFormat="1">
      <alignment horizontal="right" shrinkToFit="0" vertical="center" wrapText="0"/>
    </xf>
    <xf borderId="0" fillId="0" fontId="4" numFmtId="10" xfId="0" applyAlignment="1" applyFont="1" applyNumberFormat="1">
      <alignment shrinkToFit="0" vertical="bottom" wrapText="0"/>
    </xf>
    <xf borderId="7" fillId="9" fontId="12" numFmtId="0" xfId="0" applyAlignment="1" applyBorder="1" applyFill="1" applyFont="1">
      <alignment horizontal="left" shrinkToFit="0" vertical="center" wrapText="0"/>
    </xf>
    <xf borderId="7" fillId="9" fontId="12" numFmtId="164" xfId="0" applyAlignment="1" applyBorder="1" applyFont="1" applyNumberFormat="1">
      <alignment horizontal="right" shrinkToFit="0" vertical="center" wrapText="0"/>
    </xf>
    <xf borderId="7" fillId="0" fontId="12" numFmtId="164" xfId="0" applyAlignment="1" applyBorder="1" applyFont="1" applyNumberFormat="1">
      <alignment horizontal="right" shrinkToFit="0" vertical="center" wrapText="0"/>
    </xf>
    <xf borderId="7" fillId="9" fontId="12" numFmtId="165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4" numFmtId="9" xfId="0" applyAlignment="1" applyFont="1" applyNumberFormat="1">
      <alignment shrinkToFit="0" vertical="bottom" wrapText="0"/>
    </xf>
    <xf borderId="4" fillId="10" fontId="6" numFmtId="0" xfId="0" applyAlignment="1" applyBorder="1" applyFill="1" applyFont="1">
      <alignment horizontal="left" shrinkToFit="0" vertical="center" wrapText="0"/>
    </xf>
    <xf borderId="4" fillId="10" fontId="4" numFmtId="0" xfId="0" applyAlignment="1" applyBorder="1" applyFont="1">
      <alignment shrinkToFit="0" vertical="bottom" wrapText="0"/>
    </xf>
    <xf borderId="5" fillId="11" fontId="14" numFmtId="0" xfId="0" applyAlignment="1" applyBorder="1" applyFill="1" applyFont="1">
      <alignment horizontal="left" shrinkToFit="0" vertical="center" wrapText="0"/>
    </xf>
    <xf borderId="5" fillId="11" fontId="14" numFmtId="164" xfId="0" applyAlignment="1" applyBorder="1" applyFont="1" applyNumberFormat="1">
      <alignment horizontal="right" shrinkToFit="0" vertical="center" wrapText="0"/>
    </xf>
    <xf borderId="5" fillId="0" fontId="15" numFmtId="164" xfId="0" applyAlignment="1" applyBorder="1" applyFont="1" applyNumberFormat="1">
      <alignment horizontal="right" shrinkToFit="0" vertical="center" wrapText="0"/>
    </xf>
    <xf borderId="5" fillId="11" fontId="15" numFmtId="164" xfId="0" applyAlignment="1" applyBorder="1" applyFont="1" applyNumberFormat="1">
      <alignment horizontal="right" shrinkToFit="0" vertical="center" wrapText="0"/>
    </xf>
    <xf borderId="5" fillId="11" fontId="9" numFmtId="10" xfId="0" applyAlignment="1" applyBorder="1" applyFont="1" applyNumberFormat="1">
      <alignment horizontal="center" shrinkToFit="0" vertical="center" wrapText="0"/>
    </xf>
    <xf borderId="5" fillId="12" fontId="14" numFmtId="0" xfId="0" applyAlignment="1" applyBorder="1" applyFill="1" applyFont="1">
      <alignment horizontal="left" shrinkToFit="0" vertical="center" wrapText="0"/>
    </xf>
    <xf borderId="5" fillId="12" fontId="14" numFmtId="164" xfId="0" applyAlignment="1" applyBorder="1" applyFont="1" applyNumberFormat="1">
      <alignment horizontal="right" shrinkToFit="0" vertical="center" wrapText="0"/>
    </xf>
    <xf borderId="5" fillId="12" fontId="15" numFmtId="164" xfId="0" applyAlignment="1" applyBorder="1" applyFont="1" applyNumberFormat="1">
      <alignment horizontal="right" shrinkToFit="0" vertical="center" wrapText="0"/>
    </xf>
    <xf borderId="8" fillId="10" fontId="6" numFmtId="0" xfId="0" applyAlignment="1" applyBorder="1" applyFont="1">
      <alignment horizontal="left" shrinkToFit="0" vertical="center" wrapText="0"/>
    </xf>
    <xf borderId="8" fillId="10" fontId="6" numFmtId="164" xfId="0" applyAlignment="1" applyBorder="1" applyFont="1" applyNumberFormat="1">
      <alignment horizontal="right" shrinkToFit="0" vertical="center" wrapText="0"/>
    </xf>
    <xf borderId="8" fillId="0" fontId="6" numFmtId="164" xfId="0" applyAlignment="1" applyBorder="1" applyFont="1" applyNumberFormat="1">
      <alignment horizontal="right" shrinkToFit="0" vertical="center" wrapText="0"/>
    </xf>
    <xf borderId="8" fillId="10" fontId="6" numFmtId="165" xfId="0" applyAlignment="1" applyBorder="1" applyFont="1" applyNumberFormat="1">
      <alignment horizontal="right" shrinkToFit="0" vertical="center" wrapText="0"/>
    </xf>
    <xf borderId="7" fillId="13" fontId="12" numFmtId="0" xfId="0" applyAlignment="1" applyBorder="1" applyFill="1" applyFont="1">
      <alignment horizontal="left" shrinkToFit="0" vertical="center" wrapText="0"/>
    </xf>
    <xf borderId="7" fillId="13" fontId="12" numFmtId="164" xfId="0" applyAlignment="1" applyBorder="1" applyFont="1" applyNumberFormat="1">
      <alignment horizontal="right" shrinkToFit="0" vertical="center" wrapText="0"/>
    </xf>
    <xf borderId="7" fillId="13" fontId="12" numFmtId="165" xfId="0" applyAlignment="1" applyBorder="1" applyFont="1" applyNumberFormat="1">
      <alignment horizontal="right" shrinkToFit="0" vertical="center" wrapText="0"/>
    </xf>
    <xf borderId="4" fillId="14" fontId="6" numFmtId="0" xfId="0" applyAlignment="1" applyBorder="1" applyFill="1" applyFont="1">
      <alignment horizontal="left" shrinkToFit="0" vertical="center" wrapText="0"/>
    </xf>
    <xf borderId="4" fillId="14" fontId="4" numFmtId="0" xfId="0" applyAlignment="1" applyBorder="1" applyFont="1">
      <alignment shrinkToFit="0" vertical="bottom" wrapText="0"/>
    </xf>
    <xf borderId="5" fillId="15" fontId="16" numFmtId="0" xfId="0" applyAlignment="1" applyBorder="1" applyFill="1" applyFont="1">
      <alignment horizontal="left" shrinkToFit="0" vertical="center" wrapText="0"/>
    </xf>
    <xf borderId="5" fillId="15" fontId="16" numFmtId="164" xfId="0" applyAlignment="1" applyBorder="1" applyFont="1" applyNumberFormat="1">
      <alignment horizontal="right" shrinkToFit="0" vertical="center" wrapText="0"/>
    </xf>
    <xf borderId="5" fillId="0" fontId="17" numFmtId="164" xfId="0" applyAlignment="1" applyBorder="1" applyFont="1" applyNumberFormat="1">
      <alignment horizontal="right" shrinkToFit="0" vertical="center" wrapText="0"/>
    </xf>
    <xf borderId="5" fillId="15" fontId="17" numFmtId="164" xfId="0" applyAlignment="1" applyBorder="1" applyFont="1" applyNumberFormat="1">
      <alignment horizontal="right" shrinkToFit="0" vertical="center" wrapText="0"/>
    </xf>
    <xf borderId="5" fillId="15" fontId="9" numFmtId="0" xfId="0" applyAlignment="1" applyBorder="1" applyFont="1">
      <alignment horizontal="left" shrinkToFit="0" vertical="center" wrapText="0"/>
    </xf>
    <xf borderId="9" fillId="16" fontId="18" numFmtId="0" xfId="0" applyAlignment="1" applyBorder="1" applyFill="1" applyFont="1">
      <alignment horizontal="left" shrinkToFit="0" vertical="center" wrapText="0"/>
    </xf>
    <xf borderId="9" fillId="16" fontId="18" numFmtId="164" xfId="0" applyAlignment="1" applyBorder="1" applyFont="1" applyNumberFormat="1">
      <alignment horizontal="right" shrinkToFit="0" vertical="center" wrapText="0"/>
    </xf>
    <xf borderId="9" fillId="0" fontId="18" numFmtId="164" xfId="0" applyAlignment="1" applyBorder="1" applyFont="1" applyNumberFormat="1">
      <alignment horizontal="right" shrinkToFit="0" vertical="center" wrapText="0"/>
    </xf>
    <xf borderId="9" fillId="16" fontId="9" numFmtId="0" xfId="0" applyAlignment="1" applyBorder="1" applyFont="1">
      <alignment horizontal="left" shrinkToFit="0" vertical="center" wrapText="0"/>
    </xf>
    <xf borderId="5" fillId="15" fontId="19" numFmtId="0" xfId="0" applyAlignment="1" applyBorder="1" applyFont="1">
      <alignment horizontal="left" shrinkToFit="0" vertical="center" wrapText="0"/>
    </xf>
    <xf borderId="5" fillId="15" fontId="19" numFmtId="164" xfId="0" applyAlignment="1" applyBorder="1" applyFont="1" applyNumberFormat="1">
      <alignment horizontal="right" shrinkToFit="0" vertical="center" wrapText="0"/>
    </xf>
    <xf borderId="5" fillId="0" fontId="19" numFmtId="164" xfId="0" applyAlignment="1" applyBorder="1" applyFont="1" applyNumberFormat="1">
      <alignment horizontal="right" shrinkToFit="0" vertical="center" wrapText="0"/>
    </xf>
    <xf borderId="10" fillId="4" fontId="20" numFmtId="0" xfId="0" applyAlignment="1" applyBorder="1" applyFont="1">
      <alignment horizontal="left" shrinkToFit="0" vertical="center" wrapText="0"/>
    </xf>
    <xf borderId="10" fillId="4" fontId="20" numFmtId="164" xfId="0" applyAlignment="1" applyBorder="1" applyFont="1" applyNumberFormat="1">
      <alignment horizontal="right" shrinkToFit="0" vertical="center" wrapText="0"/>
    </xf>
    <xf borderId="10" fillId="0" fontId="20" numFmtId="164" xfId="0" applyAlignment="1" applyBorder="1" applyFont="1" applyNumberFormat="1">
      <alignment horizontal="right" shrinkToFit="0" vertical="center" wrapText="0"/>
    </xf>
    <xf borderId="10" fillId="4" fontId="20" numFmtId="165" xfId="0" applyAlignment="1" applyBorder="1" applyFont="1" applyNumberFormat="1">
      <alignment horizontal="right" shrinkToFit="0" vertical="center" wrapText="0"/>
    </xf>
    <xf borderId="1" fillId="17" fontId="21" numFmtId="0" xfId="0" applyAlignment="1" applyBorder="1" applyFill="1" applyFont="1">
      <alignment horizontal="center" shrinkToFit="0" vertical="center" wrapText="1"/>
    </xf>
    <xf borderId="11" fillId="5" fontId="22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1" fillId="18" fontId="23" numFmtId="0" xfId="0" applyAlignment="1" applyBorder="1" applyFill="1" applyFont="1">
      <alignment horizontal="center" shrinkToFit="0" vertical="center" wrapText="0"/>
    </xf>
    <xf borderId="11" fillId="17" fontId="24" numFmtId="0" xfId="0" applyAlignment="1" applyBorder="1" applyFont="1">
      <alignment horizontal="center" shrinkToFit="0" vertical="center" wrapText="0"/>
    </xf>
    <xf borderId="11" fillId="15" fontId="25" numFmtId="0" xfId="0" applyAlignment="1" applyBorder="1" applyFont="1">
      <alignment horizontal="center" shrinkToFit="0" vertical="center" wrapText="0"/>
    </xf>
    <xf borderId="14" fillId="5" fontId="26" numFmtId="164" xfId="0" applyAlignment="1" applyBorder="1" applyFont="1" applyNumberFormat="1">
      <alignment horizontal="center" shrinkToFit="0" vertical="center" wrapText="0"/>
    </xf>
    <xf borderId="15" fillId="0" fontId="2" numFmtId="0" xfId="0" applyBorder="1" applyFont="1"/>
    <xf borderId="16" fillId="0" fontId="2" numFmtId="0" xfId="0" applyBorder="1" applyFont="1"/>
    <xf borderId="14" fillId="18" fontId="26" numFmtId="165" xfId="0" applyAlignment="1" applyBorder="1" applyFont="1" applyNumberFormat="1">
      <alignment horizontal="center" shrinkToFit="0" vertical="center" wrapText="0"/>
    </xf>
    <xf borderId="14" fillId="17" fontId="26" numFmtId="165" xfId="0" applyAlignment="1" applyBorder="1" applyFont="1" applyNumberFormat="1">
      <alignment horizontal="center" shrinkToFit="0" vertical="center" wrapText="0"/>
    </xf>
    <xf borderId="14" fillId="15" fontId="26" numFmtId="165" xfId="0" applyAlignment="1" applyBorder="1" applyFont="1" applyNumberFormat="1">
      <alignment horizontal="center" shrinkToFit="0" vertical="center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2" fontId="5" numFmtId="0" xfId="0" applyAlignment="1" applyBorder="1" applyFont="1">
      <alignment horizontal="center" shrinkToFit="0" vertical="bottom" wrapText="0"/>
    </xf>
    <xf borderId="0" fillId="0" fontId="27" numFmtId="164" xfId="0" applyAlignment="1" applyFont="1" applyNumberFormat="1">
      <alignment shrinkToFit="0" vertical="bottom" wrapText="0"/>
    </xf>
    <xf borderId="0" fillId="0" fontId="27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Выручка, расходы и чистая прибыль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Выручка</c:v>
          </c:tx>
          <c:spPr>
            <a:solidFill>
              <a:srgbClr val="27AE60"/>
            </a:solidFill>
            <a:ln cmpd="sng">
              <a:noFill/>
            </a:ln>
          </c:spPr>
          <c:cat>
            <c:strRef>
              <c:f>'📈 Дашборд'!$A$7:$A$9</c:f>
            </c:strRef>
          </c:cat>
          <c:val>
            <c:numRef>
              <c:f>'📈 Дашборд'!$B$7:$B$9</c:f>
              <c:numCache/>
            </c:numRef>
          </c:val>
        </c:ser>
        <c:ser>
          <c:idx val="1"/>
          <c:order val="1"/>
          <c:tx>
            <c:v>Расходы (с/с + опер.)</c:v>
          </c:tx>
          <c:spPr>
            <a:solidFill>
              <a:srgbClr val="E74C3C"/>
            </a:solidFill>
            <a:ln cmpd="sng">
              <a:noFill/>
            </a:ln>
          </c:spPr>
          <c:cat>
            <c:strRef>
              <c:f>'📈 Дашборд'!$A$7:$A$9</c:f>
            </c:strRef>
          </c:cat>
          <c:val>
            <c:numRef>
              <c:f>'📈 Дашборд'!$C$7:$C$9</c:f>
              <c:numCache/>
            </c:numRef>
          </c:val>
        </c:ser>
        <c:ser>
          <c:idx val="2"/>
          <c:order val="2"/>
          <c:tx>
            <c:v>Чистая прибыль</c:v>
          </c:tx>
          <c:spPr>
            <a:solidFill>
              <a:srgbClr val="8E44AD"/>
            </a:solidFill>
            <a:ln cmpd="sng">
              <a:noFill/>
            </a:ln>
          </c:spPr>
          <c:cat>
            <c:strRef>
              <c:f>'📈 Дашборд'!$A$7:$A$9</c:f>
            </c:strRef>
          </c:cat>
          <c:val>
            <c:numRef>
              <c:f>'📈 Дашборд'!$D$7:$D$9</c:f>
              <c:numCache/>
            </c:numRef>
          </c:val>
        </c:ser>
        <c:axId val="946705155"/>
        <c:axId val="239483626"/>
      </c:barChart>
      <c:catAx>
        <c:axId val="946705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9483626"/>
      </c:catAx>
      <c:valAx>
        <c:axId val="239483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670515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От выручки к чистой прибыли (за квартал)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Сумма за квартал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27AE6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9E79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39C12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1E8449"/>
              </a:solidFill>
              <a:ln cmpd="sng">
                <a:noFill/>
              </a:ln>
            </c:spPr>
          </c:dPt>
          <c:cat>
            <c:strRef>
              <c:f>'📈 Дашборд'!$F$7:$F$10</c:f>
            </c:strRef>
          </c:cat>
          <c:val>
            <c:numRef>
              <c:f>'📈 Дашборд'!$G$7:$G$10</c:f>
              <c:numCache/>
            </c:numRef>
          </c:val>
        </c:ser>
        <c:overlap val="100"/>
        <c:axId val="916716843"/>
        <c:axId val="1265754088"/>
      </c:barChart>
      <c:catAx>
        <c:axId val="91671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5754088"/>
      </c:catAx>
      <c:valAx>
        <c:axId val="1265754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6716843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Структура расходов за квартал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Дашборд'!$J$6</c:f>
            </c:strRef>
          </c:tx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2980B9"/>
              </a:solidFill>
            </c:spPr>
          </c:dPt>
          <c:dPt>
            <c:idx val="2"/>
            <c:spPr>
              <a:solidFill>
                <a:srgbClr val="85C1E9"/>
              </a:solidFill>
            </c:spPr>
          </c:dPt>
          <c:dPt>
            <c:idx val="3"/>
            <c:spPr>
              <a:solidFill>
                <a:srgbClr val="F39C12"/>
              </a:solidFill>
            </c:spPr>
          </c:dPt>
          <c:dPt>
            <c:idx val="4"/>
            <c:spPr>
              <a:solidFill>
                <a:srgbClr val="F8C471"/>
              </a:solidFill>
            </c:spPr>
          </c:dPt>
          <c:dPt>
            <c:idx val="5"/>
            <c:spPr>
              <a:solidFill>
                <a:srgbClr val="AAB7B8"/>
              </a:solidFill>
            </c:spPr>
          </c:dPt>
          <c:dPt>
            <c:idx val="6"/>
            <c:spPr>
              <a:solidFill>
                <a:srgbClr val="8E44A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Дашборд'!$I$7:$I$13</c:f>
            </c:strRef>
          </c:cat>
          <c:val>
            <c:numRef>
              <c:f>'📈 Дашборд'!$J$7:$J$13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Динамика маржинальности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Валовая маржа</c:v>
          </c:tx>
          <c:spPr>
            <a:solidFill>
              <a:srgbClr val="F39C12"/>
            </a:solidFill>
            <a:ln cmpd="sng">
              <a:noFill/>
            </a:ln>
          </c:spPr>
          <c:cat>
            <c:strRef>
              <c:f>'📈 Дашборд'!$L$7:$L$9</c:f>
            </c:strRef>
          </c:cat>
          <c:val>
            <c:numRef>
              <c:f>'📈 Дашборд'!$M$7:$M$9</c:f>
              <c:numCache/>
            </c:numRef>
          </c:val>
        </c:ser>
        <c:ser>
          <c:idx val="1"/>
          <c:order val="1"/>
          <c:tx>
            <c:v>Операционная маржа</c:v>
          </c:tx>
          <c:spPr>
            <a:solidFill>
              <a:srgbClr val="D68910"/>
            </a:solidFill>
            <a:ln cmpd="sng">
              <a:noFill/>
            </a:ln>
          </c:spPr>
          <c:cat>
            <c:strRef>
              <c:f>'📈 Дашборд'!$L$7:$L$9</c:f>
            </c:strRef>
          </c:cat>
          <c:val>
            <c:numRef>
              <c:f>'📈 Дашборд'!$N$7:$N$9</c:f>
              <c:numCache/>
            </c:numRef>
          </c:val>
        </c:ser>
        <c:ser>
          <c:idx val="2"/>
          <c:order val="2"/>
          <c:tx>
            <c:v>Чистая маржа</c:v>
          </c:tx>
          <c:spPr>
            <a:solidFill>
              <a:srgbClr val="8E44AD"/>
            </a:solidFill>
            <a:ln cmpd="sng">
              <a:noFill/>
            </a:ln>
          </c:spPr>
          <c:cat>
            <c:strRef>
              <c:f>'📈 Дашборд'!$L$7:$L$9</c:f>
            </c:strRef>
          </c:cat>
          <c:val>
            <c:numRef>
              <c:f>'📈 Дашборд'!$O$7:$O$9</c:f>
              <c:numCache/>
            </c:numRef>
          </c:val>
        </c:ser>
        <c:axId val="85001368"/>
        <c:axId val="1081650042"/>
      </c:barChart>
      <c:catAx>
        <c:axId val="85001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1650042"/>
      </c:catAx>
      <c:valAx>
        <c:axId val="1081650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00136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9525</xdr:rowOff>
    </xdr:from>
    <xdr:ext cx="4705350" cy="33337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438150</xdr:colOff>
      <xdr:row>13</xdr:row>
      <xdr:rowOff>9525</xdr:rowOff>
    </xdr:from>
    <xdr:ext cx="4572000" cy="33337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438150</xdr:colOff>
      <xdr:row>29</xdr:row>
      <xdr:rowOff>180975</xdr:rowOff>
    </xdr:from>
    <xdr:ext cx="4572000" cy="28384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57150</xdr:colOff>
      <xdr:row>29</xdr:row>
      <xdr:rowOff>180975</xdr:rowOff>
    </xdr:from>
    <xdr:ext cx="4648200" cy="28384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86"/>
    <col customWidth="1" min="2" max="4" width="14.0"/>
    <col customWidth="1" min="5" max="6" width="17.0"/>
    <col customWidth="1" min="7" max="7" width="14.0"/>
    <col customWidth="1" min="8" max="27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3">
      <c r="A3" s="5"/>
      <c r="B3" s="5"/>
      <c r="C3" s="5"/>
      <c r="D3" s="5"/>
      <c r="E3" s="5"/>
      <c r="F3" s="5"/>
      <c r="G3" s="5"/>
    </row>
    <row r="4">
      <c r="A4" s="6" t="s">
        <v>2</v>
      </c>
      <c r="B4" s="6" t="s">
        <v>3</v>
      </c>
      <c r="C4" s="6" t="s">
        <v>4</v>
      </c>
      <c r="D4" s="6" t="s">
        <v>5</v>
      </c>
      <c r="E4" s="7"/>
      <c r="F4" s="6" t="s">
        <v>6</v>
      </c>
      <c r="G4" s="6" t="s">
        <v>7</v>
      </c>
    </row>
    <row r="5">
      <c r="A5" s="8" t="s">
        <v>8</v>
      </c>
      <c r="B5" s="9"/>
      <c r="C5" s="9"/>
      <c r="D5" s="9"/>
      <c r="E5" s="10"/>
      <c r="F5" s="9"/>
      <c r="G5" s="9"/>
    </row>
    <row r="6">
      <c r="A6" s="11" t="s">
        <v>9</v>
      </c>
      <c r="B6" s="12">
        <v>8000000.0</v>
      </c>
      <c r="C6" s="12">
        <v>8500000.0</v>
      </c>
      <c r="D6" s="12">
        <v>1.02E7</v>
      </c>
      <c r="E6" s="13"/>
      <c r="F6" s="14">
        <f t="shared" ref="F6:F9" si="1">SUM(B6:D6)</f>
        <v>26700000</v>
      </c>
      <c r="G6" s="15">
        <f t="shared" ref="G6:G8" si="2">F6/$F$9</f>
        <v>0.6068181818</v>
      </c>
    </row>
    <row r="7">
      <c r="A7" s="16" t="s">
        <v>10</v>
      </c>
      <c r="B7" s="17">
        <v>3200000.0</v>
      </c>
      <c r="C7" s="17">
        <v>3500000.0</v>
      </c>
      <c r="D7" s="17">
        <v>4100000.0</v>
      </c>
      <c r="E7" s="13"/>
      <c r="F7" s="18">
        <f t="shared" si="1"/>
        <v>10800000</v>
      </c>
      <c r="G7" s="15">
        <f t="shared" si="2"/>
        <v>0.2454545455</v>
      </c>
    </row>
    <row r="8">
      <c r="A8" s="11" t="s">
        <v>11</v>
      </c>
      <c r="B8" s="12">
        <v>1500000.0</v>
      </c>
      <c r="C8" s="12">
        <v>2000000.0</v>
      </c>
      <c r="D8" s="12">
        <v>3000000.0</v>
      </c>
      <c r="E8" s="13"/>
      <c r="F8" s="14">
        <f t="shared" si="1"/>
        <v>6500000</v>
      </c>
      <c r="G8" s="15">
        <f t="shared" si="2"/>
        <v>0.1477272727</v>
      </c>
    </row>
    <row r="9">
      <c r="A9" s="19" t="s">
        <v>12</v>
      </c>
      <c r="B9" s="20">
        <f t="shared" ref="B9:D9" si="3">SUM(B6:B8)</f>
        <v>12700000</v>
      </c>
      <c r="C9" s="20">
        <f t="shared" si="3"/>
        <v>14000000</v>
      </c>
      <c r="D9" s="20">
        <f t="shared" si="3"/>
        <v>17300000</v>
      </c>
      <c r="E9" s="21"/>
      <c r="F9" s="20">
        <f t="shared" si="1"/>
        <v>44000000</v>
      </c>
      <c r="G9" s="22" t="s">
        <v>13</v>
      </c>
    </row>
    <row r="10">
      <c r="A10" s="5"/>
      <c r="B10" s="5"/>
      <c r="C10" s="5"/>
      <c r="D10" s="5"/>
      <c r="E10" s="5"/>
      <c r="F10" s="5"/>
      <c r="G10" s="5"/>
    </row>
    <row r="11">
      <c r="A11" s="23" t="s">
        <v>14</v>
      </c>
      <c r="B11" s="24"/>
      <c r="C11" s="24"/>
      <c r="D11" s="24"/>
      <c r="E11" s="10"/>
      <c r="F11" s="24"/>
      <c r="G11" s="24"/>
    </row>
    <row r="12">
      <c r="A12" s="25" t="s">
        <v>15</v>
      </c>
      <c r="B12" s="26">
        <v>4445000.0</v>
      </c>
      <c r="C12" s="26">
        <v>4900000.0</v>
      </c>
      <c r="D12" s="26">
        <v>6055000.0</v>
      </c>
      <c r="E12" s="27"/>
      <c r="F12" s="28">
        <f>SUM(B12:D12)</f>
        <v>15400000</v>
      </c>
      <c r="G12" s="29">
        <f>F12/F9</f>
        <v>0.35</v>
      </c>
    </row>
    <row r="13">
      <c r="A13" s="5"/>
      <c r="B13" s="30"/>
      <c r="C13" s="30"/>
      <c r="D13" s="30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31" t="s">
        <v>16</v>
      </c>
      <c r="B15" s="32">
        <f t="shared" ref="B15:D15" si="4">B9-B12</f>
        <v>8255000</v>
      </c>
      <c r="C15" s="32">
        <f t="shared" si="4"/>
        <v>9100000</v>
      </c>
      <c r="D15" s="32">
        <f t="shared" si="4"/>
        <v>11245000</v>
      </c>
      <c r="E15" s="33"/>
      <c r="F15" s="32">
        <f>F9-F12</f>
        <v>28600000</v>
      </c>
      <c r="G15" s="34">
        <f>F15/F9</f>
        <v>0.65</v>
      </c>
    </row>
    <row r="16">
      <c r="A16" s="35" t="s">
        <v>17</v>
      </c>
    </row>
    <row r="17">
      <c r="A17" s="5"/>
      <c r="B17" s="36"/>
      <c r="C17" s="36"/>
      <c r="D17" s="36"/>
      <c r="E17" s="5"/>
      <c r="F17" s="5"/>
      <c r="G17" s="5"/>
    </row>
    <row r="18">
      <c r="A18" s="37" t="s">
        <v>18</v>
      </c>
      <c r="B18" s="38"/>
      <c r="C18" s="38"/>
      <c r="D18" s="38"/>
      <c r="E18" s="10"/>
      <c r="F18" s="38"/>
      <c r="G18" s="38"/>
    </row>
    <row r="19">
      <c r="A19" s="39" t="s">
        <v>19</v>
      </c>
      <c r="B19" s="40">
        <v>2800000.0</v>
      </c>
      <c r="C19" s="40">
        <v>2800000.0</v>
      </c>
      <c r="D19" s="40">
        <v>2950000.0</v>
      </c>
      <c r="E19" s="41"/>
      <c r="F19" s="42">
        <f t="shared" ref="F19:F24" si="5">SUM(B19:D19)</f>
        <v>8550000</v>
      </c>
      <c r="G19" s="43">
        <f t="shared" ref="G19:G23" si="6">F19/$F$24</f>
        <v>0.454062666</v>
      </c>
    </row>
    <row r="20">
      <c r="A20" s="44" t="s">
        <v>20</v>
      </c>
      <c r="B20" s="45">
        <v>1500000.0</v>
      </c>
      <c r="C20" s="45">
        <v>1500000.0</v>
      </c>
      <c r="D20" s="45">
        <v>1500000.0</v>
      </c>
      <c r="E20" s="41"/>
      <c r="F20" s="46">
        <f t="shared" si="5"/>
        <v>4500000</v>
      </c>
      <c r="G20" s="43">
        <f t="shared" si="6"/>
        <v>0.2389803505</v>
      </c>
    </row>
    <row r="21">
      <c r="A21" s="39" t="s">
        <v>21</v>
      </c>
      <c r="B21" s="40">
        <v>800000.0</v>
      </c>
      <c r="C21" s="40">
        <v>1200000.0</v>
      </c>
      <c r="D21" s="40">
        <v>2100000.0</v>
      </c>
      <c r="E21" s="41"/>
      <c r="F21" s="42">
        <f t="shared" si="5"/>
        <v>4100000</v>
      </c>
      <c r="G21" s="43">
        <f t="shared" si="6"/>
        <v>0.2177376527</v>
      </c>
    </row>
    <row r="22">
      <c r="A22" s="44" t="s">
        <v>22</v>
      </c>
      <c r="B22" s="45">
        <v>350000.0</v>
      </c>
      <c r="C22" s="45">
        <v>320000.0</v>
      </c>
      <c r="D22" s="45">
        <v>410000.0</v>
      </c>
      <c r="E22" s="41"/>
      <c r="F22" s="46">
        <f t="shared" si="5"/>
        <v>1080000</v>
      </c>
      <c r="G22" s="43">
        <f t="shared" si="6"/>
        <v>0.05735528412</v>
      </c>
    </row>
    <row r="23">
      <c r="A23" s="39" t="s">
        <v>23</v>
      </c>
      <c r="B23" s="40">
        <v>200000.0</v>
      </c>
      <c r="C23" s="40">
        <v>200000.0</v>
      </c>
      <c r="D23" s="40">
        <v>200000.0</v>
      </c>
      <c r="E23" s="41"/>
      <c r="F23" s="42">
        <f t="shared" si="5"/>
        <v>600000</v>
      </c>
      <c r="G23" s="43">
        <f t="shared" si="6"/>
        <v>0.03186404673</v>
      </c>
    </row>
    <row r="24">
      <c r="A24" s="47" t="s">
        <v>24</v>
      </c>
      <c r="B24" s="48">
        <f t="shared" ref="B24:D24" si="7">SUM(B19:B23)</f>
        <v>5650000</v>
      </c>
      <c r="C24" s="48">
        <f t="shared" si="7"/>
        <v>6020000</v>
      </c>
      <c r="D24" s="48">
        <f t="shared" si="7"/>
        <v>7160000</v>
      </c>
      <c r="E24" s="49"/>
      <c r="F24" s="48">
        <f t="shared" si="5"/>
        <v>18830000</v>
      </c>
      <c r="G24" s="50">
        <f>F24/F9</f>
        <v>0.4279545455</v>
      </c>
    </row>
    <row r="25">
      <c r="A25" s="5"/>
      <c r="B25" s="5"/>
      <c r="C25" s="5"/>
      <c r="D25" s="5"/>
      <c r="E25" s="5"/>
      <c r="F25" s="5"/>
      <c r="G25" s="5"/>
    </row>
    <row r="26">
      <c r="A26" s="51" t="s">
        <v>25</v>
      </c>
      <c r="B26" s="52">
        <f t="shared" ref="B26:D26" si="8">B15-B24</f>
        <v>2605000</v>
      </c>
      <c r="C26" s="52">
        <f t="shared" si="8"/>
        <v>3080000</v>
      </c>
      <c r="D26" s="52">
        <f t="shared" si="8"/>
        <v>4085000</v>
      </c>
      <c r="E26" s="33"/>
      <c r="F26" s="52">
        <f>F15-F24</f>
        <v>9770000</v>
      </c>
      <c r="G26" s="53">
        <f>F26/F9</f>
        <v>0.2220454545</v>
      </c>
    </row>
    <row r="27">
      <c r="A27" s="35" t="s">
        <v>26</v>
      </c>
    </row>
    <row r="28">
      <c r="A28" s="5"/>
      <c r="B28" s="5"/>
      <c r="C28" s="5"/>
      <c r="D28" s="5"/>
      <c r="E28" s="5"/>
      <c r="F28" s="5"/>
      <c r="G28" s="5"/>
    </row>
    <row r="29">
      <c r="A29" s="54" t="s">
        <v>27</v>
      </c>
      <c r="B29" s="55"/>
      <c r="C29" s="55"/>
      <c r="D29" s="55"/>
      <c r="E29" s="10"/>
      <c r="F29" s="55"/>
      <c r="G29" s="55"/>
    </row>
    <row r="30">
      <c r="A30" s="56" t="s">
        <v>28</v>
      </c>
      <c r="B30" s="57">
        <v>150000.0</v>
      </c>
      <c r="C30" s="57">
        <v>150000.0</v>
      </c>
      <c r="D30" s="57">
        <v>150000.0</v>
      </c>
      <c r="E30" s="58"/>
      <c r="F30" s="59">
        <f>SUM(B30:D30)</f>
        <v>450000</v>
      </c>
      <c r="G30" s="60"/>
    </row>
    <row r="31">
      <c r="A31" s="61" t="s">
        <v>29</v>
      </c>
      <c r="B31" s="62">
        <f t="shared" ref="B31:D31" si="9">B26-B30</f>
        <v>2455000</v>
      </c>
      <c r="C31" s="62">
        <f t="shared" si="9"/>
        <v>2930000</v>
      </c>
      <c r="D31" s="62">
        <f t="shared" si="9"/>
        <v>3935000</v>
      </c>
      <c r="E31" s="63"/>
      <c r="F31" s="62">
        <f>F26-F30</f>
        <v>9320000</v>
      </c>
      <c r="G31" s="64"/>
    </row>
    <row r="32">
      <c r="A32" s="65" t="s">
        <v>30</v>
      </c>
      <c r="B32" s="66">
        <f t="shared" ref="B32:D32" si="10">B31*0.15</f>
        <v>368250</v>
      </c>
      <c r="C32" s="66">
        <f t="shared" si="10"/>
        <v>439500</v>
      </c>
      <c r="D32" s="66">
        <f t="shared" si="10"/>
        <v>590250</v>
      </c>
      <c r="E32" s="67"/>
      <c r="F32" s="66">
        <f>F31*0.15</f>
        <v>1398000</v>
      </c>
      <c r="G32" s="60"/>
    </row>
    <row r="33">
      <c r="A33" s="5"/>
      <c r="B33" s="5"/>
      <c r="C33" s="5"/>
      <c r="D33" s="5"/>
      <c r="E33" s="5"/>
      <c r="F33" s="5"/>
      <c r="G33" s="5"/>
    </row>
    <row r="34">
      <c r="A34" s="68" t="s">
        <v>31</v>
      </c>
      <c r="B34" s="69">
        <f t="shared" ref="B34:D34" si="11">B31-B32</f>
        <v>2086750</v>
      </c>
      <c r="C34" s="69">
        <f t="shared" si="11"/>
        <v>2490500</v>
      </c>
      <c r="D34" s="69">
        <f t="shared" si="11"/>
        <v>3344750</v>
      </c>
      <c r="E34" s="70"/>
      <c r="F34" s="69">
        <f>F31-F32</f>
        <v>7922000</v>
      </c>
      <c r="G34" s="71">
        <f>F34/F9</f>
        <v>0.1800454545</v>
      </c>
    </row>
    <row r="35">
      <c r="A35" s="35" t="s">
        <v>32</v>
      </c>
    </row>
    <row r="36">
      <c r="A36" s="5"/>
      <c r="B36" s="5"/>
      <c r="C36" s="5"/>
      <c r="D36" s="5"/>
      <c r="E36" s="5"/>
      <c r="F36" s="5"/>
      <c r="G36" s="5"/>
    </row>
    <row r="37">
      <c r="A37" s="72" t="s">
        <v>33</v>
      </c>
      <c r="B37" s="2"/>
      <c r="C37" s="2"/>
      <c r="D37" s="2"/>
      <c r="E37" s="2"/>
      <c r="F37" s="2"/>
      <c r="G37" s="3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  <row r="989">
      <c r="A989" s="5"/>
      <c r="B989" s="5"/>
      <c r="C989" s="5"/>
      <c r="D989" s="5"/>
      <c r="E989" s="5"/>
      <c r="F989" s="5"/>
      <c r="G989" s="5"/>
    </row>
    <row r="990">
      <c r="A990" s="5"/>
      <c r="B990" s="5"/>
      <c r="C990" s="5"/>
      <c r="D990" s="5"/>
      <c r="E990" s="5"/>
      <c r="F990" s="5"/>
      <c r="G990" s="5"/>
    </row>
    <row r="991">
      <c r="A991" s="5"/>
      <c r="B991" s="5"/>
      <c r="C991" s="5"/>
      <c r="D991" s="5"/>
      <c r="E991" s="5"/>
      <c r="F991" s="5"/>
      <c r="G991" s="5"/>
    </row>
    <row r="992">
      <c r="A992" s="5"/>
      <c r="B992" s="5"/>
      <c r="C992" s="5"/>
      <c r="D992" s="5"/>
      <c r="E992" s="5"/>
      <c r="F992" s="5"/>
      <c r="G992" s="5"/>
    </row>
    <row r="993">
      <c r="A993" s="5"/>
      <c r="B993" s="5"/>
      <c r="C993" s="5"/>
      <c r="D993" s="5"/>
      <c r="E993" s="5"/>
      <c r="F993" s="5"/>
      <c r="G993" s="5"/>
    </row>
    <row r="994">
      <c r="A994" s="5"/>
      <c r="B994" s="5"/>
      <c r="C994" s="5"/>
      <c r="D994" s="5"/>
      <c r="E994" s="5"/>
      <c r="F994" s="5"/>
      <c r="G994" s="5"/>
    </row>
    <row r="995">
      <c r="A995" s="5"/>
      <c r="B995" s="5"/>
      <c r="C995" s="5"/>
      <c r="D995" s="5"/>
      <c r="E995" s="5"/>
      <c r="F995" s="5"/>
      <c r="G995" s="5"/>
    </row>
    <row r="996">
      <c r="A996" s="5"/>
      <c r="B996" s="5"/>
      <c r="C996" s="5"/>
      <c r="D996" s="5"/>
      <c r="E996" s="5"/>
      <c r="F996" s="5"/>
      <c r="G996" s="5"/>
    </row>
    <row r="997">
      <c r="A997" s="5"/>
      <c r="B997" s="5"/>
      <c r="C997" s="5"/>
      <c r="D997" s="5"/>
      <c r="E997" s="5"/>
      <c r="F997" s="5"/>
      <c r="G997" s="5"/>
    </row>
    <row r="998">
      <c r="A998" s="5"/>
      <c r="B998" s="5"/>
      <c r="C998" s="5"/>
      <c r="D998" s="5"/>
      <c r="E998" s="5"/>
      <c r="F998" s="5"/>
      <c r="G998" s="5"/>
    </row>
    <row r="999">
      <c r="A999" s="5"/>
      <c r="B999" s="5"/>
      <c r="C999" s="5"/>
      <c r="D999" s="5"/>
      <c r="E999" s="5"/>
      <c r="F999" s="5"/>
      <c r="G999" s="5"/>
    </row>
    <row r="1000">
      <c r="A1000" s="5"/>
      <c r="B1000" s="5"/>
      <c r="C1000" s="5"/>
      <c r="D1000" s="5"/>
      <c r="E1000" s="5"/>
      <c r="F1000" s="5"/>
      <c r="G1000" s="5"/>
    </row>
    <row r="1001">
      <c r="A1001" s="5"/>
      <c r="B1001" s="5"/>
      <c r="C1001" s="5"/>
      <c r="D1001" s="5"/>
      <c r="E1001" s="5"/>
      <c r="F1001" s="5"/>
      <c r="G1001" s="5"/>
    </row>
  </sheetData>
  <mergeCells count="6">
    <mergeCell ref="A1:G1"/>
    <mergeCell ref="A2:G2"/>
    <mergeCell ref="A16:G16"/>
    <mergeCell ref="A27:G27"/>
    <mergeCell ref="A35:G35"/>
    <mergeCell ref="A37:G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0"/>
    <col customWidth="1" min="3" max="3" width="18.0"/>
    <col customWidth="1" min="4" max="4" width="16.0"/>
    <col customWidth="1" min="5" max="5" width="2.0"/>
    <col customWidth="1" min="6" max="6" width="22.86"/>
    <col customWidth="1" min="7" max="7" width="16.0"/>
    <col customWidth="1" min="8" max="8" width="2.0"/>
    <col customWidth="1" min="9" max="9" width="26.0"/>
    <col customWidth="1" min="10" max="10" width="14.0"/>
    <col customWidth="1" min="11" max="11" width="2.0"/>
    <col customWidth="1" min="12" max="12" width="10.0"/>
    <col customWidth="1" min="13" max="13" width="14.0"/>
    <col customWidth="1" min="14" max="14" width="20.0"/>
    <col customWidth="1" min="15" max="15" width="14.0"/>
    <col customWidth="1" min="16" max="26" width="8.71"/>
  </cols>
  <sheetData>
    <row r="1" ht="30.0" customHeight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73" t="s">
        <v>35</v>
      </c>
      <c r="B2" s="74"/>
      <c r="C2" s="74"/>
      <c r="D2" s="75"/>
      <c r="E2" s="5"/>
      <c r="F2" s="76" t="s">
        <v>36</v>
      </c>
      <c r="G2" s="74"/>
      <c r="H2" s="74"/>
      <c r="I2" s="75"/>
      <c r="J2" s="5"/>
      <c r="K2" s="77" t="s">
        <v>37</v>
      </c>
      <c r="L2" s="74"/>
      <c r="M2" s="74"/>
      <c r="N2" s="75"/>
      <c r="O2" s="5"/>
      <c r="P2" s="78" t="s">
        <v>38</v>
      </c>
      <c r="Q2" s="74"/>
      <c r="R2" s="74"/>
      <c r="S2" s="75"/>
    </row>
    <row r="3" ht="24.0" customHeight="1">
      <c r="A3" s="79">
        <f>'📋 Отчёт P&amp;L'!F9</f>
        <v>44000000</v>
      </c>
      <c r="B3" s="80"/>
      <c r="C3" s="80"/>
      <c r="D3" s="81"/>
      <c r="E3" s="5"/>
      <c r="F3" s="82">
        <f>'📋 Отчёт P&amp;L'!G15</f>
        <v>0.65</v>
      </c>
      <c r="G3" s="80"/>
      <c r="H3" s="80"/>
      <c r="I3" s="81"/>
      <c r="J3" s="5"/>
      <c r="K3" s="83">
        <f>'📋 Отчёт P&amp;L'!G26</f>
        <v>0.2220454545</v>
      </c>
      <c r="L3" s="80"/>
      <c r="M3" s="80"/>
      <c r="N3" s="81"/>
      <c r="O3" s="5"/>
      <c r="P3" s="84">
        <f>'📋 Отчёт P&amp;L'!G34</f>
        <v>0.1800454545</v>
      </c>
      <c r="Q3" s="80"/>
      <c r="R3" s="80"/>
      <c r="S3" s="81"/>
    </row>
    <row r="4" ht="7.5" customHeight="1">
      <c r="A4" s="85"/>
      <c r="B4" s="86"/>
      <c r="C4" s="86"/>
      <c r="D4" s="87"/>
      <c r="E4" s="5"/>
      <c r="F4" s="85"/>
      <c r="G4" s="86"/>
      <c r="H4" s="86"/>
      <c r="I4" s="87"/>
      <c r="J4" s="5"/>
      <c r="K4" s="85"/>
      <c r="L4" s="86"/>
      <c r="M4" s="86"/>
      <c r="N4" s="87"/>
      <c r="O4" s="5"/>
      <c r="P4" s="85"/>
      <c r="Q4" s="86"/>
      <c r="R4" s="86"/>
      <c r="S4" s="87"/>
    </row>
    <row r="5" ht="9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5.0" customHeight="1">
      <c r="A6" s="88" t="s">
        <v>39</v>
      </c>
      <c r="B6" s="88" t="s">
        <v>40</v>
      </c>
      <c r="C6" s="88" t="s">
        <v>41</v>
      </c>
      <c r="D6" s="88" t="s">
        <v>42</v>
      </c>
      <c r="E6" s="5"/>
      <c r="F6" s="88" t="s">
        <v>43</v>
      </c>
      <c r="G6" s="88" t="s">
        <v>44</v>
      </c>
      <c r="H6" s="5"/>
      <c r="I6" s="88" t="s">
        <v>45</v>
      </c>
      <c r="J6" s="88" t="s">
        <v>46</v>
      </c>
      <c r="K6" s="5"/>
      <c r="L6" s="88" t="s">
        <v>39</v>
      </c>
      <c r="M6" s="88" t="s">
        <v>47</v>
      </c>
      <c r="N6" s="88" t="s">
        <v>48</v>
      </c>
      <c r="O6" s="88" t="s">
        <v>49</v>
      </c>
    </row>
    <row r="7" ht="15.0" customHeight="1">
      <c r="A7" s="5" t="s">
        <v>3</v>
      </c>
      <c r="B7" s="89">
        <f>'📋 Отчёт P&amp;L'!B9</f>
        <v>12700000</v>
      </c>
      <c r="C7" s="89">
        <f>'📋 Отчёт P&amp;L'!B12+'📋 Отчёт P&amp;L'!B24</f>
        <v>10095000</v>
      </c>
      <c r="D7" s="89">
        <f>'📋 Отчёт P&amp;L'!B34</f>
        <v>2086750</v>
      </c>
      <c r="E7" s="5"/>
      <c r="F7" s="5" t="s">
        <v>40</v>
      </c>
      <c r="G7" s="89">
        <f>'📋 Отчёт P&amp;L'!F9</f>
        <v>44000000</v>
      </c>
      <c r="H7" s="5"/>
      <c r="I7" s="5" t="s">
        <v>50</v>
      </c>
      <c r="J7" s="89">
        <f>'📋 Отчёт P&amp;L'!F12</f>
        <v>15400000</v>
      </c>
      <c r="K7" s="5"/>
      <c r="L7" s="5" t="s">
        <v>3</v>
      </c>
      <c r="M7" s="90">
        <f>IFERROR('📋 Отчёт P&amp;L'!B15/'📋 Отчёт P&amp;L'!B9,0)</f>
        <v>0.65</v>
      </c>
      <c r="N7" s="90">
        <f>IFERROR('📋 Отчёт P&amp;L'!B26/'📋 Отчёт P&amp;L'!B9,0)</f>
        <v>0.2051181102</v>
      </c>
      <c r="O7" s="90">
        <f>IFERROR('📋 Отчёт P&amp;L'!B34/'📋 Отчёт P&amp;L'!B9,0)</f>
        <v>0.1643110236</v>
      </c>
    </row>
    <row r="8" ht="15.0" customHeight="1">
      <c r="A8" s="5" t="s">
        <v>4</v>
      </c>
      <c r="B8" s="89">
        <f>'📋 Отчёт P&amp;L'!C9</f>
        <v>14000000</v>
      </c>
      <c r="C8" s="89">
        <f>'📋 Отчёт P&amp;L'!C12+'📋 Отчёт P&amp;L'!C24</f>
        <v>10920000</v>
      </c>
      <c r="D8" s="89">
        <f>'📋 Отчёт P&amp;L'!C34</f>
        <v>2490500</v>
      </c>
      <c r="E8" s="5"/>
      <c r="F8" s="5" t="s">
        <v>51</v>
      </c>
      <c r="G8" s="89">
        <f>'📋 Отчёт P&amp;L'!F15</f>
        <v>28600000</v>
      </c>
      <c r="H8" s="5"/>
      <c r="I8" s="5" t="s">
        <v>19</v>
      </c>
      <c r="J8" s="89">
        <f>'📋 Отчёт P&amp;L'!F19</f>
        <v>8550000</v>
      </c>
      <c r="K8" s="5"/>
      <c r="L8" s="5" t="s">
        <v>4</v>
      </c>
      <c r="M8" s="90">
        <f>IFERROR('📋 Отчёт P&amp;L'!C15/'📋 Отчёт P&amp;L'!C9,0)</f>
        <v>0.65</v>
      </c>
      <c r="N8" s="90">
        <f>IFERROR('📋 Отчёт P&amp;L'!C26/'📋 Отчёт P&amp;L'!C9,0)</f>
        <v>0.22</v>
      </c>
      <c r="O8" s="90">
        <f>IFERROR('📋 Отчёт P&amp;L'!C34/'📋 Отчёт P&amp;L'!C9,0)</f>
        <v>0.1778928571</v>
      </c>
    </row>
    <row r="9" ht="15.0" customHeight="1">
      <c r="A9" s="5" t="s">
        <v>5</v>
      </c>
      <c r="B9" s="89">
        <f>'📋 Отчёт P&amp;L'!D9</f>
        <v>17300000</v>
      </c>
      <c r="C9" s="89">
        <f>'📋 Отчёт P&amp;L'!D12+'📋 Отчёт P&amp;L'!D24</f>
        <v>13215000</v>
      </c>
      <c r="D9" s="89">
        <f>'📋 Отчёт P&amp;L'!D34</f>
        <v>3344750</v>
      </c>
      <c r="E9" s="5"/>
      <c r="F9" s="5" t="s">
        <v>52</v>
      </c>
      <c r="G9" s="89">
        <f>'📋 Отчёт P&amp;L'!F26</f>
        <v>9770000</v>
      </c>
      <c r="H9" s="5"/>
      <c r="I9" s="5" t="s">
        <v>20</v>
      </c>
      <c r="J9" s="89">
        <f>'📋 Отчёт P&amp;L'!F20</f>
        <v>4500000</v>
      </c>
      <c r="K9" s="5"/>
      <c r="L9" s="5" t="s">
        <v>5</v>
      </c>
      <c r="M9" s="90">
        <f>IFERROR('📋 Отчёт P&amp;L'!D15/'📋 Отчёт P&amp;L'!D9,0)</f>
        <v>0.65</v>
      </c>
      <c r="N9" s="90">
        <f>IFERROR('📋 Отчёт P&amp;L'!D26/'📋 Отчёт P&amp;L'!D9,0)</f>
        <v>0.2361271676</v>
      </c>
      <c r="O9" s="90">
        <f>IFERROR('📋 Отчёт P&amp;L'!D34/'📋 Отчёт P&amp;L'!D9,0)</f>
        <v>0.1933381503</v>
      </c>
    </row>
    <row r="10" ht="15.0" customHeight="1">
      <c r="A10" s="5"/>
      <c r="B10" s="5"/>
      <c r="C10" s="5"/>
      <c r="D10" s="5"/>
      <c r="E10" s="5"/>
      <c r="F10" s="5" t="s">
        <v>42</v>
      </c>
      <c r="G10" s="89">
        <f>'📋 Отчёт P&amp;L'!F34</f>
        <v>7922000</v>
      </c>
      <c r="H10" s="5"/>
      <c r="I10" s="5" t="s">
        <v>21</v>
      </c>
      <c r="J10" s="89">
        <f>'📋 Отчёт P&amp;L'!F21</f>
        <v>4100000</v>
      </c>
      <c r="K10" s="5"/>
      <c r="L10" s="5"/>
      <c r="M10" s="5"/>
      <c r="N10" s="5"/>
      <c r="O10" s="5"/>
    </row>
    <row r="11" ht="15.0" customHeight="1">
      <c r="A11" s="5"/>
      <c r="B11" s="5"/>
      <c r="C11" s="5"/>
      <c r="D11" s="5"/>
      <c r="E11" s="5"/>
      <c r="F11" s="5"/>
      <c r="G11" s="5"/>
      <c r="H11" s="5"/>
      <c r="I11" s="5" t="s">
        <v>22</v>
      </c>
      <c r="J11" s="89">
        <f>'📋 Отчёт P&amp;L'!F22</f>
        <v>1080000</v>
      </c>
      <c r="K11" s="5"/>
      <c r="L11" s="5"/>
      <c r="M11" s="5"/>
      <c r="N11" s="5"/>
      <c r="O11" s="5"/>
    </row>
    <row r="12" ht="15.0" customHeight="1">
      <c r="A12" s="5"/>
      <c r="B12" s="5"/>
      <c r="C12" s="5"/>
      <c r="D12" s="5"/>
      <c r="E12" s="5"/>
      <c r="F12" s="5"/>
      <c r="G12" s="5"/>
      <c r="H12" s="5"/>
      <c r="I12" s="5" t="s">
        <v>53</v>
      </c>
      <c r="J12" s="89">
        <f>'📋 Отчёт P&amp;L'!F23</f>
        <v>600000</v>
      </c>
      <c r="K12" s="5"/>
      <c r="L12" s="5"/>
      <c r="M12" s="5"/>
      <c r="N12" s="5"/>
      <c r="O12" s="5"/>
    </row>
    <row r="13" ht="15.0" customHeight="1">
      <c r="A13" s="5"/>
      <c r="B13" s="5"/>
      <c r="C13" s="5"/>
      <c r="D13" s="5"/>
      <c r="E13" s="5"/>
      <c r="F13" s="5"/>
      <c r="G13" s="5"/>
      <c r="H13" s="5"/>
      <c r="I13" s="5" t="s">
        <v>28</v>
      </c>
      <c r="J13" s="89">
        <f>'📋 Отчёт P&amp;L'!F30</f>
        <v>450000</v>
      </c>
      <c r="K13" s="5"/>
      <c r="L13" s="5"/>
      <c r="M13" s="5"/>
      <c r="N13" s="5"/>
      <c r="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9">
    <mergeCell ref="P2:S2"/>
    <mergeCell ref="P3:S4"/>
    <mergeCell ref="A1:S1"/>
    <mergeCell ref="A2:D2"/>
    <mergeCell ref="F2:I2"/>
    <mergeCell ref="K2:N2"/>
    <mergeCell ref="A3:D4"/>
    <mergeCell ref="F3:I4"/>
    <mergeCell ref="K3:N4"/>
  </mergeCells>
  <printOptions/>
  <pageMargins bottom="1.0" footer="0.0" header="0.0" left="0.75" right="0.75" top="1.0"/>
  <pageSetup paperSize="9" orientation="portrait"/>
  <drawing r:id="rId1"/>
</worksheet>
</file>