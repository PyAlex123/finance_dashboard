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Воронка и CAC" sheetId="1" r:id="rId5"/>
    <sheet state="visible" name="📦 Товар – цена и маржа" sheetId="2" r:id="rId6"/>
    <sheet state="visible" name="🧾 Чек и LTV" sheetId="3" r:id="rId7"/>
    <sheet state="visible" name="⚖️ LTV vs CAC" sheetId="4" r:id="rId8"/>
    <sheet state="visible" name="📈 Дашборд" sheetId="5" r:id="rId9"/>
  </sheets>
  <definedNames/>
  <calcPr/>
</workbook>
</file>

<file path=xl/sharedStrings.xml><?xml version="1.0" encoding="utf-8"?>
<sst xmlns="http://schemas.openxmlformats.org/spreadsheetml/2006/main" count="91" uniqueCount="87">
  <si>
    <t>ЮНИТ-ЭКОНОМИКА РОЗНИЧНОГО МАГАЗИНА — Шаг 1: воронка и реальная стоимость клиента (CAC)</t>
  </si>
  <si>
    <t>Магазин одежды «Стиль и Ко» — расчёт за один месяц</t>
  </si>
  <si>
    <t>ВВОДНЫЕ ДАННЫЕ</t>
  </si>
  <si>
    <t>Рекламный бюджет за месяц, сум</t>
  </si>
  <si>
    <t>Зарплата продавцов/менеджеров (доля на привлечение), сум</t>
  </si>
  <si>
    <t>Получено лидов (обращений) за месяц, шт</t>
  </si>
  <si>
    <t>Конверсия из лида в покупателя, %</t>
  </si>
  <si>
    <t>РАСЧЁТ "НА ПЕРВЫЙ ВЗГЛЯД" (так считают многие)</t>
  </si>
  <si>
    <t>Стоимость одного лида (бюджет / число лидов), сум</t>
  </si>
  <si>
    <t>👉 Выглядит очень дёшево — именно эту цифру обычно показывают как "успех рекламы"</t>
  </si>
  <si>
    <t>РЕАЛЬНАЯ СТОИМОСТЬ КЛИЕНТА — CAC</t>
  </si>
  <si>
    <t>Новые покупатели за месяц (лиды × конверсия), чел</t>
  </si>
  <si>
    <t>Все расходы на привлечение (бюджет + зарплата продаж), сум</t>
  </si>
  <si>
    <t>CAC — реальная стоимость одного платящего клиента, сум</t>
  </si>
  <si>
    <t>👉 CAC учитывает не только рекламу, но и весь путь от лида до реального покупателя —</t>
  </si>
  <si>
    <t xml:space="preserve">   и эта цифра почти всегда оказывается в разы больше "красивой" стоимости лида</t>
  </si>
  <si>
    <t>Шаг 2: что реально остаётся с одной единицы товара</t>
  </si>
  <si>
    <t>От цены на ценнике до валовой прибыли — с учётом скидок, возвратов и себестоимости</t>
  </si>
  <si>
    <t>Цена единицы товара (на ценнике), сум</t>
  </si>
  <si>
    <t>Средняя скидка покупателям, %</t>
  </si>
  <si>
    <t>Доля возвратов от проданного, %</t>
  </si>
  <si>
    <t>Себестоимость единицы товара (закупка + логистика), сум</t>
  </si>
  <si>
    <t>РАСЧЁТ ВАЛОВОЙ ПРИБЫЛИ НА ЕДИНИЦУ ТОВАРА</t>
  </si>
  <si>
    <t>Реальная цена после скидки, сум</t>
  </si>
  <si>
    <t>Реальная выручка с учётом возвратов, сум</t>
  </si>
  <si>
    <t>👉 Скидки и возвраты "съедают" заметную часть цены ещё до расчёта прибыли</t>
  </si>
  <si>
    <t>ВАЛОВАЯ ПРИБЫЛЬ на единицу товара (выручка − себестоимость), сум</t>
  </si>
  <si>
    <t>Валовая маржа, % от реальной выручки</t>
  </si>
  <si>
    <t>Шаг 3: от единицы товара — к чеку и ценности клиента (LTV)</t>
  </si>
  <si>
    <t>Покупатель редко берёт один товар и не приходит "просто так" — считаем по чекам и повторным покупкам</t>
  </si>
  <si>
    <t>Глубина чека — среднее кол-во товаров в одной покупке, шт</t>
  </si>
  <si>
    <t>Доп. расходы на обслуживание чека (упаковка, доставка), сум</t>
  </si>
  <si>
    <t>Частота покупок одного клиента в год, раз</t>
  </si>
  <si>
    <t>Средний срок жизни клиента, лет</t>
  </si>
  <si>
    <t>СВЯЗАННЫЕ ДАННЫЕ ИЗ ДРУГИХ ЛИСТОВ</t>
  </si>
  <si>
    <t>Реальная выручка с одной единицы товара, сум (лист «Товар»)</t>
  </si>
  <si>
    <t>Валовая прибыль с одной единицы товара, сум (лист «Товар»)</t>
  </si>
  <si>
    <t>СРЕДНИЙ ЧЕК И МАРЖА НА ЧЕК</t>
  </si>
  <si>
    <t>Средний чек, сум (глубина чека × реальная выручка с единицы)</t>
  </si>
  <si>
    <t>Маржа с одного чека (валовая прибыль с чека − доп.расходы), сум</t>
  </si>
  <si>
    <t>ЦЕННОСТЬ КЛИЕНТА ЗА ВЕСЬ ПЕРИОД — LTV</t>
  </si>
  <si>
    <t>Количество покупок за весь срок жизни клиента (частота × срок жизни)</t>
  </si>
  <si>
    <t>LTV — суммарная маржа от клиента за весь период, сум</t>
  </si>
  <si>
    <t>👉 Если клиент не возвращается (1 покупка) — вся экономика держится на одном чеке.</t>
  </si>
  <si>
    <t xml:space="preserve">   Каждая повторная покупка добавляет маржу почти без новых затрат на привлечение.</t>
  </si>
  <si>
    <t>Шаг 4: главный вопрос — окупается ли клиент на самом деле?</t>
  </si>
  <si>
    <t>Сводим всё вместе: сколько стоил клиент и сколько он реально принесёт</t>
  </si>
  <si>
    <t>ИТОГОВОЕ СРАВНЕНИЕ</t>
  </si>
  <si>
    <t>"Красивая" стоимость лида, сум (лист «Воронка»)</t>
  </si>
  <si>
    <t>Стоимость одного лида (бюджет / число лидов)</t>
  </si>
  <si>
    <t>CAC — реальная стоимость платящего клиента, сум (лист «Воронка»)</t>
  </si>
  <si>
    <t>LTV — ценность клиента за весь период, сум (лист «Чек и LTV»)</t>
  </si>
  <si>
    <t>КЛЮЧЕВЫЕ ПОКАЗАТЕЛИ ЗДОРОВЬЯ ЮНИТ-ЭКОНОМИКИ</t>
  </si>
  <si>
    <t>Соотношение LTV / CAC (ориентир здорового бизнеса — около 3x и выше)</t>
  </si>
  <si>
    <t>(LTV — суммарная маржа от клиента за весь период = 127 824 сум) / (CAC — реальная стоимость одного платящего клиента = 46 667 сум)</t>
  </si>
  <si>
    <t>Срок окупаемости клиента — сколько покупок нужно, чтобы "отбить" CAC, раз</t>
  </si>
  <si>
    <t>(CAC — реальная стоимость одного платящего клиента = 46 667 сум) / (Маржа с одного чека (валовая прибыль с чека − доп.расходы) = 63 912 сум)</t>
  </si>
  <si>
    <t>Срок окупаемости в месяцах (при заданной частоте покупок)</t>
  </si>
  <si>
    <t>0,73 / Частота покупок одного клиента в год</t>
  </si>
  <si>
    <t>ВЫВОД</t>
  </si>
  <si>
    <t>Цена лида выглядит очень привлекательно — но это лишь верхушка айсберга. Когда мы считаем CAC честно (с учётом конверсии и расходов на продажи), цифра вырастает в разы. А когда сравниваем её с LTV, картина становится куда менее радужной: соотношение LTV/CAC получается заметно ниже комфортного ориентира 3x, а на то, чтобы клиент "отбил" вложенные в его привлечение деньги, нужно несколько месяцев и не одна покупка. Если клиент уйдёт раньше — бизнес попросту теряет деньги на каждом "успешно" привлечённом клиенте, хотя реклама в отчёте выглядит дешёвой и эффективной.
Именно поэтому "дешёвый лид" — это НЕ юнит-экономика. Настоящая юнит-экономика — это ответ на вопрос: "Зарабатываем ли мы деньги на каждом клиенте, если посчитать вообще всё?"</t>
  </si>
  <si>
    <t>ДАШБОРД: ЮНИТ-ЭКОНОМИКА — «дешёвый лид» против реальной картины</t>
  </si>
  <si>
    <t>Цена лида ("красиво")</t>
  </si>
  <si>
    <t>CAC (реально)</t>
  </si>
  <si>
    <t>LTV клиента</t>
  </si>
  <si>
    <t>LTV / CAC</t>
  </si>
  <si>
    <t>ДАННЫЕ ДЛЯ ДИАГРАММ</t>
  </si>
  <si>
    <t>Воронка привлечения</t>
  </si>
  <si>
    <t>Этап</t>
  </si>
  <si>
    <t>Кол-во, чел</t>
  </si>
  <si>
    <t>Лиды (обращения)</t>
  </si>
  <si>
    <t>Новые покупатели</t>
  </si>
  <si>
    <t>Из чего складывается прибыль с 1 товара</t>
  </si>
  <si>
    <t>Компонент</t>
  </si>
  <si>
    <t>Сумма, сум</t>
  </si>
  <si>
    <t>Себестоимость</t>
  </si>
  <si>
    <t>Скидка (потеря от цены)</t>
  </si>
  <si>
    <t>Потери от возвратов</t>
  </si>
  <si>
    <t>Валовая прибыль (остаётся)</t>
  </si>
  <si>
    <t>Сравнение CAC и LTV</t>
  </si>
  <si>
    <t>Показатель</t>
  </si>
  <si>
    <t>CAC (стоимость клиента)</t>
  </si>
  <si>
    <t>LTV (ценность клиента)</t>
  </si>
  <si>
    <t>Чек: глубина и маржа</t>
  </si>
  <si>
    <t>Значение</t>
  </si>
  <si>
    <t>Средний чек, сум</t>
  </si>
  <si>
    <t>Маржа с чека, сум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</si>
</sst>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&quot; сум&quot;"/>
    <numFmt numFmtId="165" formatCode="0.0%"/>
    <numFmt numFmtId="166" formatCode="#,##0.0"/>
    <numFmt numFmtId="167" formatCode="0.00\x"/>
    <numFmt numFmtId="168" formatCode="0.0"/>
  </numFmts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FF"/>
      <name val="Arial"/>
    </font>
    <font>
      <sz val="11.0"/>
      <color rgb="FF000000"/>
      <name val="Arial"/>
    </font>
    <font>
      <i/>
      <sz val="10.0"/>
      <color rgb="FF808080"/>
      <name val="Arial"/>
    </font>
    <font>
      <b/>
      <sz val="11.0"/>
      <color rgb="FFC00000"/>
      <name val="Arial"/>
    </font>
    <font>
      <color theme="1"/>
      <name val="Calibri"/>
      <scheme val="minor"/>
    </font>
    <font>
      <sz val="11.0"/>
      <color rgb="FF008000"/>
      <name val="Arial"/>
    </font>
    <font>
      <b/>
      <sz val="11.0"/>
      <color rgb="FF006100"/>
      <name val="Arial"/>
    </font>
    <font>
      <b/>
      <sz val="11.0"/>
      <color rgb="FF008000"/>
      <name val="Arial"/>
    </font>
    <font>
      <b/>
      <sz val="10.0"/>
      <color theme="1"/>
      <name val="Arial"/>
    </font>
    <font>
      <b/>
      <sz val="16.0"/>
      <color rgb="FFC00000"/>
      <name val="Arial"/>
    </font>
    <font>
      <b/>
      <sz val="16.0"/>
      <color rgb="FF305496"/>
      <name val="Arial"/>
    </font>
    <font>
      <b/>
      <sz val="16.0"/>
      <color rgb="FF008000"/>
      <name val="Arial"/>
    </font>
    <font>
      <b/>
      <sz val="16.0"/>
      <color rgb="FF7F6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5" fillId="4" fontId="6" numFmtId="164" xfId="0" applyAlignment="1" applyBorder="1" applyFill="1" applyFont="1" applyNumberFormat="1">
      <alignment shrinkToFit="0" vertical="bottom" wrapText="0"/>
    </xf>
    <xf borderId="5" fillId="0" fontId="6" numFmtId="164" xfId="0" applyAlignment="1" applyBorder="1" applyFont="1" applyNumberFormat="1">
      <alignment shrinkToFit="0" vertical="bottom" wrapText="0"/>
    </xf>
    <xf borderId="5" fillId="0" fontId="6" numFmtId="3" xfId="0" applyAlignment="1" applyBorder="1" applyFont="1" applyNumberFormat="1">
      <alignment shrinkToFit="0" vertical="bottom" wrapText="0"/>
    </xf>
    <xf borderId="5" fillId="4" fontId="6" numFmtId="165" xfId="0" applyAlignment="1" applyBorder="1" applyFont="1" applyNumberFormat="1">
      <alignment shrinkToFit="0" vertical="bottom" wrapText="0"/>
    </xf>
    <xf borderId="5" fillId="0" fontId="7" numFmtId="164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5" fillId="0" fontId="7" numFmtId="166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5" fillId="4" fontId="9" numFmtId="164" xfId="0" applyAlignment="1" applyBorder="1" applyFont="1" applyNumberFormat="1">
      <alignment shrinkToFit="0" vertical="bottom" wrapText="0"/>
    </xf>
    <xf borderId="5" fillId="0" fontId="4" numFmtId="164" xfId="0" applyAlignment="1" applyBorder="1" applyFont="1" applyNumberFormat="1">
      <alignment shrinkToFit="0" vertical="bottom" wrapText="0"/>
    </xf>
    <xf borderId="5" fillId="4" fontId="4" numFmtId="164" xfId="0" applyAlignment="1" applyBorder="1" applyFont="1" applyNumberFormat="1">
      <alignment shrinkToFit="0" vertical="bottom" wrapText="0"/>
    </xf>
    <xf borderId="5" fillId="0" fontId="7" numFmtId="165" xfId="0" applyAlignment="1" applyBorder="1" applyFont="1" applyNumberFormat="1">
      <alignment shrinkToFit="0" vertical="bottom" wrapText="0"/>
    </xf>
    <xf borderId="0" fillId="0" fontId="10" numFmtId="3" xfId="0" applyAlignment="1" applyFont="1" applyNumberFormat="1">
      <alignment readingOrder="0"/>
    </xf>
    <xf borderId="5" fillId="4" fontId="6" numFmtId="2" xfId="0" applyAlignment="1" applyBorder="1" applyFont="1" applyNumberFormat="1">
      <alignment shrinkToFit="0" vertical="bottom" wrapText="0"/>
    </xf>
    <xf borderId="5" fillId="0" fontId="11" numFmtId="164" xfId="0" applyAlignment="1" applyBorder="1" applyFont="1" applyNumberFormat="1">
      <alignment shrinkToFit="0" vertical="bottom" wrapText="0"/>
    </xf>
    <xf borderId="5" fillId="0" fontId="7" numFmtId="2" xfId="0" applyAlignment="1" applyBorder="1" applyFont="1" applyNumberFormat="1">
      <alignment shrinkToFit="0" vertical="bottom" wrapText="0"/>
    </xf>
    <xf borderId="5" fillId="4" fontId="12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/>
    </xf>
    <xf borderId="5" fillId="0" fontId="13" numFmtId="164" xfId="0" applyAlignment="1" applyBorder="1" applyFont="1" applyNumberFormat="1">
      <alignment shrinkToFit="0" vertical="bottom" wrapText="0"/>
    </xf>
    <xf borderId="5" fillId="4" fontId="4" numFmtId="167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readingOrder="0"/>
    </xf>
    <xf borderId="5" fillId="4" fontId="4" numFmtId="168" xfId="0" applyAlignment="1" applyBorder="1" applyFont="1" applyNumberFormat="1">
      <alignment shrinkToFit="0" vertical="bottom" wrapText="0"/>
    </xf>
    <xf borderId="0" fillId="0" fontId="3" numFmtId="0" xfId="0" applyAlignment="1" applyFont="1">
      <alignment horizontal="left" shrinkToFit="0" vertical="top" wrapText="1"/>
    </xf>
    <xf borderId="0" fillId="0" fontId="10" numFmtId="164" xfId="0" applyFont="1" applyNumberFormat="1"/>
    <xf borderId="1" fillId="3" fontId="14" numFmtId="0" xfId="0" applyAlignment="1" applyBorder="1" applyFont="1">
      <alignment horizontal="center" shrinkToFit="0" vertical="bottom" wrapText="0"/>
    </xf>
    <xf borderId="0" fillId="0" fontId="15" numFmtId="164" xfId="0" applyAlignment="1" applyFont="1" applyNumberFormat="1">
      <alignment horizontal="center" shrinkToFit="0" vertical="center" wrapText="0"/>
    </xf>
    <xf borderId="0" fillId="0" fontId="16" numFmtId="164" xfId="0" applyAlignment="1" applyFont="1" applyNumberFormat="1">
      <alignment horizontal="center" shrinkToFit="0" vertical="center" wrapText="0"/>
    </xf>
    <xf borderId="0" fillId="0" fontId="17" numFmtId="164" xfId="0" applyAlignment="1" applyFont="1" applyNumberFormat="1">
      <alignment horizontal="center" shrinkToFit="0" vertical="center" wrapText="0"/>
    </xf>
    <xf borderId="0" fillId="0" fontId="18" numFmtId="167" xfId="0" applyAlignment="1" applyFont="1" applyNumberFormat="1">
      <alignment horizontal="center" shrinkToFit="0" vertical="center" wrapText="0"/>
    </xf>
    <xf borderId="0" fillId="0" fontId="10" numFmtId="0" xfId="0" applyFont="1"/>
    <xf borderId="0" fillId="0" fontId="13" numFmtId="166" xfId="0" applyAlignment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Воронка: лиды → платящие покупатели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Кол-во, чел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'📈 Дашборд'!$A$12:$A$13</c:f>
            </c:strRef>
          </c:cat>
          <c:val>
            <c:numRef>
              <c:f>'📈 Дашборд'!$B$12:$B$13</c:f>
              <c:numCache/>
            </c:numRef>
          </c:val>
        </c:ser>
        <c:axId val="811641601"/>
        <c:axId val="1055027915"/>
      </c:barChart>
      <c:catAx>
        <c:axId val="811641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55027915"/>
      </c:catAx>
      <c:valAx>
        <c:axId val="1055027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Чел.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11641601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Куда уходит цена товара (на 1 единицу)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'📈 Дашборд'!$B$16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'📈 Дашборд'!$A$17:$A$20</c:f>
            </c:strRef>
          </c:cat>
          <c:val>
            <c:numRef>
              <c:f>'📈 Дашборд'!$B$17:$B$20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CAC vs LTV — окупается ли клиент?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Сумма, сум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'📈 Дашборд'!$A$24:$A$25</c:f>
            </c:strRef>
          </c:cat>
          <c:val>
            <c:numRef>
              <c:f>'📈 Дашборд'!$B$24:$B$25</c:f>
              <c:numCache/>
            </c:numRef>
          </c:val>
        </c:ser>
        <c:axId val="1847883588"/>
        <c:axId val="920014790"/>
      </c:barChart>
      <c:catAx>
        <c:axId val="1847883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20014790"/>
      </c:catAx>
      <c:valAx>
        <c:axId val="920014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Сум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7883588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Средний чек и маржа с чека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Значение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'📈 Дашборд'!$A$29:$A$30</c:f>
            </c:strRef>
          </c:cat>
          <c:val>
            <c:numRef>
              <c:f>'📈 Дашборд'!$B$29:$B$30</c:f>
              <c:numCache/>
            </c:numRef>
          </c:val>
        </c:ser>
        <c:axId val="781636976"/>
        <c:axId val="2087623383"/>
      </c:barChart>
      <c:catAx>
        <c:axId val="78163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87623383"/>
      </c:catAx>
      <c:valAx>
        <c:axId val="2087623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Сум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1636976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4457700" cy="3019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590550</xdr:colOff>
      <xdr:row>7</xdr:row>
      <xdr:rowOff>0</xdr:rowOff>
    </xdr:from>
    <xdr:ext cx="4457700" cy="30194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22</xdr:row>
      <xdr:rowOff>133350</xdr:rowOff>
    </xdr:from>
    <xdr:ext cx="4457700" cy="30194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590550</xdr:colOff>
      <xdr:row>22</xdr:row>
      <xdr:rowOff>133350</xdr:rowOff>
    </xdr:from>
    <xdr:ext cx="4457700" cy="30194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6.86"/>
    <col customWidth="1" min="2" max="2" width="18.0"/>
    <col customWidth="1" min="3" max="3" width="4.0"/>
    <col customWidth="1" min="4" max="4" width="42.0"/>
    <col customWidth="1" min="5" max="5" width="18.0"/>
    <col customWidth="1" min="6" max="26" width="8.71"/>
  </cols>
  <sheetData>
    <row r="1" ht="24.0" customHeight="1">
      <c r="A1" s="1" t="s">
        <v>0</v>
      </c>
      <c r="B1" s="2"/>
      <c r="C1" s="2"/>
      <c r="D1" s="2"/>
      <c r="E1" s="3"/>
    </row>
    <row r="2">
      <c r="A2" s="4" t="s">
        <v>1</v>
      </c>
    </row>
    <row r="4">
      <c r="A4" s="5" t="s">
        <v>2</v>
      </c>
    </row>
    <row r="5">
      <c r="A5" s="6" t="s">
        <v>3</v>
      </c>
      <c r="B5" s="7">
        <v>1.0E7</v>
      </c>
    </row>
    <row r="6">
      <c r="A6" s="6" t="s">
        <v>4</v>
      </c>
      <c r="B6" s="8">
        <v>4000000.0</v>
      </c>
    </row>
    <row r="7">
      <c r="A7" s="6" t="s">
        <v>5</v>
      </c>
      <c r="B7" s="9">
        <v>2000.0</v>
      </c>
    </row>
    <row r="8">
      <c r="A8" s="6" t="s">
        <v>6</v>
      </c>
      <c r="B8" s="10">
        <v>0.15</v>
      </c>
    </row>
    <row r="10">
      <c r="A10" s="5" t="s">
        <v>7</v>
      </c>
    </row>
    <row r="11">
      <c r="A11" s="6" t="s">
        <v>8</v>
      </c>
      <c r="B11" s="11">
        <f>B5/B7</f>
        <v>5000</v>
      </c>
    </row>
    <row r="12">
      <c r="A12" s="12" t="s">
        <v>9</v>
      </c>
    </row>
    <row r="14">
      <c r="A14" s="5" t="s">
        <v>10</v>
      </c>
    </row>
    <row r="15">
      <c r="A15" s="6" t="s">
        <v>11</v>
      </c>
      <c r="B15" s="13">
        <f>B7*B8</f>
        <v>300</v>
      </c>
    </row>
    <row r="16">
      <c r="A16" s="6" t="s">
        <v>12</v>
      </c>
      <c r="B16" s="11">
        <f>B5+B6</f>
        <v>14000000</v>
      </c>
    </row>
    <row r="17">
      <c r="A17" s="14" t="s">
        <v>13</v>
      </c>
      <c r="B17" s="15">
        <f>B16/B15</f>
        <v>46666.66667</v>
      </c>
    </row>
    <row r="18">
      <c r="A18" s="12" t="s">
        <v>14</v>
      </c>
    </row>
    <row r="19">
      <c r="A19" s="1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2:D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2.0"/>
    <col customWidth="1" min="2" max="2" width="12.86"/>
    <col customWidth="1" min="3" max="3" width="4.0"/>
    <col customWidth="1" min="4" max="4" width="48.0"/>
    <col customWidth="1" min="5" max="5" width="18.0"/>
    <col customWidth="1" min="6" max="26" width="8.71"/>
  </cols>
  <sheetData>
    <row r="1" ht="24.0" customHeight="1">
      <c r="A1" s="1" t="s">
        <v>16</v>
      </c>
      <c r="B1" s="2"/>
      <c r="C1" s="2"/>
      <c r="D1" s="2"/>
      <c r="E1" s="3"/>
    </row>
    <row r="2">
      <c r="A2" s="4" t="s">
        <v>17</v>
      </c>
    </row>
    <row r="4">
      <c r="A4" s="5" t="s">
        <v>2</v>
      </c>
    </row>
    <row r="5">
      <c r="A5" s="6" t="s">
        <v>18</v>
      </c>
      <c r="B5" s="7">
        <v>120000.0</v>
      </c>
    </row>
    <row r="6">
      <c r="A6" s="6" t="s">
        <v>19</v>
      </c>
      <c r="B6" s="10">
        <v>0.15</v>
      </c>
    </row>
    <row r="7">
      <c r="A7" s="6" t="s">
        <v>20</v>
      </c>
      <c r="B7" s="10">
        <v>0.08</v>
      </c>
    </row>
    <row r="8">
      <c r="A8" s="6" t="s">
        <v>21</v>
      </c>
      <c r="B8" s="7">
        <v>55000.0</v>
      </c>
    </row>
    <row r="10">
      <c r="A10" s="5" t="s">
        <v>22</v>
      </c>
    </row>
    <row r="11">
      <c r="A11" s="6" t="s">
        <v>23</v>
      </c>
      <c r="B11" s="11">
        <f>B5*(1-B6)</f>
        <v>102000</v>
      </c>
    </row>
    <row r="12">
      <c r="A12" s="14" t="s">
        <v>24</v>
      </c>
      <c r="B12" s="16">
        <f>B11*(1-B7)</f>
        <v>93840</v>
      </c>
    </row>
    <row r="13">
      <c r="A13" s="12" t="s">
        <v>25</v>
      </c>
    </row>
    <row r="15">
      <c r="A15" s="14" t="s">
        <v>26</v>
      </c>
      <c r="B15" s="17">
        <f>B12-B8</f>
        <v>38840</v>
      </c>
    </row>
    <row r="16">
      <c r="A16" s="6" t="s">
        <v>27</v>
      </c>
      <c r="B16" s="18">
        <f>B15/B12</f>
        <v>0.4138959932</v>
      </c>
    </row>
    <row r="20">
      <c r="B20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2.29"/>
    <col customWidth="1" min="2" max="2" width="18.0"/>
    <col customWidth="1" min="3" max="3" width="4.0"/>
    <col customWidth="1" min="4" max="4" width="50.0"/>
    <col customWidth="1" min="5" max="5" width="18.0"/>
    <col customWidth="1" min="6" max="26" width="8.71"/>
  </cols>
  <sheetData>
    <row r="1" ht="24.0" customHeight="1">
      <c r="A1" s="1" t="s">
        <v>28</v>
      </c>
      <c r="B1" s="2"/>
      <c r="C1" s="2"/>
      <c r="D1" s="2"/>
      <c r="E1" s="3"/>
    </row>
    <row r="2">
      <c r="A2" s="4" t="s">
        <v>29</v>
      </c>
    </row>
    <row r="4">
      <c r="A4" s="5" t="s">
        <v>2</v>
      </c>
    </row>
    <row r="5">
      <c r="A5" s="6" t="s">
        <v>30</v>
      </c>
      <c r="B5" s="20">
        <v>1.8</v>
      </c>
    </row>
    <row r="6">
      <c r="A6" s="6" t="s">
        <v>31</v>
      </c>
      <c r="B6" s="7">
        <v>6000.0</v>
      </c>
    </row>
    <row r="7">
      <c r="A7" s="6" t="s">
        <v>32</v>
      </c>
      <c r="B7" s="20">
        <v>2.0</v>
      </c>
    </row>
    <row r="8">
      <c r="A8" s="6" t="s">
        <v>33</v>
      </c>
      <c r="B8" s="20">
        <v>1.0</v>
      </c>
    </row>
    <row r="10">
      <c r="A10" s="5" t="s">
        <v>34</v>
      </c>
    </row>
    <row r="11">
      <c r="A11" s="6" t="s">
        <v>35</v>
      </c>
      <c r="B11" s="21">
        <f>'📦 Товар – цена и маржа'!B12</f>
        <v>93840</v>
      </c>
    </row>
    <row r="12">
      <c r="A12" s="6" t="s">
        <v>36</v>
      </c>
      <c r="B12" s="21">
        <f>'📦 Товар – цена и маржа'!B15</f>
        <v>38840</v>
      </c>
    </row>
    <row r="14">
      <c r="A14" s="5" t="s">
        <v>37</v>
      </c>
    </row>
    <row r="15">
      <c r="A15" s="14" t="s">
        <v>38</v>
      </c>
      <c r="B15" s="17">
        <f>B5*B11</f>
        <v>168912</v>
      </c>
    </row>
    <row r="16">
      <c r="A16" s="14" t="s">
        <v>39</v>
      </c>
      <c r="B16" s="17">
        <f>B5*B12-B6</f>
        <v>63912</v>
      </c>
    </row>
    <row r="18">
      <c r="A18" s="5" t="s">
        <v>40</v>
      </c>
    </row>
    <row r="19">
      <c r="A19" s="6" t="s">
        <v>41</v>
      </c>
      <c r="B19" s="22">
        <f>B7*B8</f>
        <v>2</v>
      </c>
    </row>
    <row r="20">
      <c r="A20" s="14" t="s">
        <v>42</v>
      </c>
      <c r="B20" s="23">
        <f>B16*B19</f>
        <v>127824</v>
      </c>
    </row>
    <row r="21" ht="15.75" customHeight="1">
      <c r="A21" s="12" t="s">
        <v>43</v>
      </c>
    </row>
    <row r="22" ht="15.75" customHeight="1">
      <c r="A22" s="12" t="s">
        <v>44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1.0"/>
    <col customWidth="1" min="2" max="2" width="20.0"/>
    <col customWidth="1" min="3" max="3" width="4.0"/>
    <col customWidth="1" min="4" max="4" width="54.0"/>
    <col customWidth="1" min="5" max="5" width="20.0"/>
    <col customWidth="1" min="6" max="26" width="8.71"/>
  </cols>
  <sheetData>
    <row r="1" ht="24.0" customHeight="1">
      <c r="A1" s="1" t="s">
        <v>45</v>
      </c>
      <c r="B1" s="2"/>
      <c r="C1" s="2"/>
      <c r="D1" s="2"/>
      <c r="E1" s="3"/>
    </row>
    <row r="2">
      <c r="A2" s="4" t="s">
        <v>46</v>
      </c>
    </row>
    <row r="4">
      <c r="A4" s="5" t="s">
        <v>47</v>
      </c>
    </row>
    <row r="5">
      <c r="A5" s="6" t="s">
        <v>48</v>
      </c>
      <c r="B5" s="21">
        <f>'📋 Воронка и CAC'!B11</f>
        <v>5000</v>
      </c>
      <c r="D5" s="24" t="s">
        <v>49</v>
      </c>
    </row>
    <row r="6">
      <c r="A6" s="14" t="s">
        <v>50</v>
      </c>
      <c r="B6" s="25">
        <f>'📋 Воронка и CAC'!B17</f>
        <v>46666.66667</v>
      </c>
    </row>
    <row r="7">
      <c r="A7" s="14" t="s">
        <v>51</v>
      </c>
      <c r="B7" s="25">
        <f>'🧾 Чек и LTV'!B20</f>
        <v>127824</v>
      </c>
    </row>
    <row r="9">
      <c r="A9" s="5" t="s">
        <v>52</v>
      </c>
    </row>
    <row r="10">
      <c r="A10" s="14" t="s">
        <v>53</v>
      </c>
      <c r="B10" s="26">
        <f>'🧾 Чек и LTV'!B20/'📋 Воронка и CAC'!B17</f>
        <v>2.739085714</v>
      </c>
      <c r="D10" s="24" t="s">
        <v>54</v>
      </c>
      <c r="E10" s="27"/>
    </row>
    <row r="11">
      <c r="A11" s="6" t="s">
        <v>55</v>
      </c>
      <c r="B11" s="22">
        <f>'📋 Воронка и CAC'!B17/'🧾 Чек и LTV'!B16</f>
        <v>0.7301706513</v>
      </c>
      <c r="D11" s="24" t="s">
        <v>56</v>
      </c>
    </row>
    <row r="12">
      <c r="A12" s="14" t="s">
        <v>57</v>
      </c>
      <c r="B12" s="28">
        <f>B11/'🧾 Чек и LTV'!B7*12</f>
        <v>4.381023908</v>
      </c>
      <c r="D12" s="24" t="s">
        <v>58</v>
      </c>
    </row>
    <row r="14">
      <c r="A14" s="5" t="s">
        <v>59</v>
      </c>
    </row>
    <row r="15" ht="15.0" customHeight="1">
      <c r="A15" s="29" t="s">
        <v>60</v>
      </c>
    </row>
    <row r="21" ht="15.75" customHeight="1"/>
    <row r="22" ht="15.75" customHeight="1"/>
    <row r="23" ht="15.75" customHeight="1"/>
    <row r="24" ht="15.75" customHeight="1"/>
    <row r="25" ht="15.75" customHeight="1">
      <c r="D25" s="3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5:D2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6.0"/>
    <col customWidth="1" min="3" max="3" width="4.0"/>
    <col customWidth="1" min="4" max="4" width="38.0"/>
    <col customWidth="1" min="5" max="5" width="16.0"/>
    <col customWidth="1" min="6" max="6" width="4.0"/>
    <col customWidth="1" min="7" max="7" width="30.0"/>
    <col customWidth="1" min="8" max="26" width="8.71"/>
  </cols>
  <sheetData>
    <row r="1" ht="25.5" customHeight="1">
      <c r="A1" s="1" t="s">
        <v>61</v>
      </c>
      <c r="B1" s="2"/>
      <c r="C1" s="2"/>
      <c r="D1" s="2"/>
      <c r="E1" s="2"/>
      <c r="F1" s="2"/>
      <c r="G1" s="3"/>
    </row>
    <row r="3">
      <c r="A3" s="31" t="s">
        <v>62</v>
      </c>
      <c r="B3" s="3"/>
      <c r="D3" s="31" t="s">
        <v>63</v>
      </c>
      <c r="E3" s="3"/>
      <c r="G3" s="31" t="s">
        <v>64</v>
      </c>
      <c r="H3" s="3"/>
      <c r="J3" s="31" t="s">
        <v>65</v>
      </c>
      <c r="K3" s="3"/>
    </row>
    <row r="4">
      <c r="A4" s="32">
        <f>'📋 Воронка и CAC'!B11</f>
        <v>5000</v>
      </c>
      <c r="D4" s="33">
        <f>'📋 Воронка и CAC'!B17</f>
        <v>46666.66667</v>
      </c>
      <c r="G4" s="34">
        <f>'🧾 Чек и LTV'!B20</f>
        <v>127824</v>
      </c>
      <c r="J4" s="35">
        <f>'⚖️ LTV vs CAC'!B10</f>
        <v>2.739085714</v>
      </c>
    </row>
    <row r="8">
      <c r="A8" s="5" t="s">
        <v>66</v>
      </c>
    </row>
    <row r="10">
      <c r="A10" s="14" t="s">
        <v>67</v>
      </c>
    </row>
    <row r="11">
      <c r="A11" s="36" t="s">
        <v>68</v>
      </c>
      <c r="B11" s="36" t="s">
        <v>69</v>
      </c>
    </row>
    <row r="12">
      <c r="A12" s="36" t="s">
        <v>70</v>
      </c>
      <c r="B12" s="37">
        <f>'📋 Воронка и CAC'!B7</f>
        <v>2000</v>
      </c>
    </row>
    <row r="13">
      <c r="A13" s="36" t="s">
        <v>71</v>
      </c>
      <c r="B13" s="37">
        <f>'📋 Воронка и CAC'!B15</f>
        <v>300</v>
      </c>
    </row>
    <row r="15">
      <c r="A15" s="14" t="s">
        <v>72</v>
      </c>
    </row>
    <row r="16">
      <c r="A16" s="36" t="s">
        <v>73</v>
      </c>
      <c r="B16" s="36" t="s">
        <v>74</v>
      </c>
    </row>
    <row r="17">
      <c r="A17" s="36" t="s">
        <v>75</v>
      </c>
      <c r="B17" s="38">
        <f>'📦 Товар – цена и маржа'!B8</f>
        <v>55000</v>
      </c>
    </row>
    <row r="18">
      <c r="A18" s="36" t="s">
        <v>76</v>
      </c>
      <c r="B18" s="38">
        <f>'📦 Товар – цена и маржа'!B5*'📦 Товар – цена и маржа'!B6</f>
        <v>18000</v>
      </c>
    </row>
    <row r="19">
      <c r="A19" s="36" t="s">
        <v>77</v>
      </c>
      <c r="B19" s="38">
        <f>'📦 Товар – цена и маржа'!B11*'📦 Товар – цена и маржа'!B7</f>
        <v>8160</v>
      </c>
    </row>
    <row r="20">
      <c r="A20" s="36" t="s">
        <v>78</v>
      </c>
      <c r="B20" s="38">
        <f>'📦 Товар – цена и маржа'!B15</f>
        <v>38840</v>
      </c>
    </row>
    <row r="21" ht="15.75" customHeight="1"/>
    <row r="22" ht="15.75" customHeight="1">
      <c r="A22" s="14" t="s">
        <v>79</v>
      </c>
    </row>
    <row r="23" ht="15.75" customHeight="1">
      <c r="A23" s="36" t="s">
        <v>80</v>
      </c>
      <c r="B23" s="36" t="s">
        <v>74</v>
      </c>
    </row>
    <row r="24" ht="15.75" customHeight="1">
      <c r="A24" s="36" t="s">
        <v>81</v>
      </c>
      <c r="B24" s="38">
        <f>'📋 Воронка и CAC'!B17</f>
        <v>46666.66667</v>
      </c>
    </row>
    <row r="25" ht="15.75" customHeight="1">
      <c r="A25" s="36" t="s">
        <v>82</v>
      </c>
      <c r="B25" s="38">
        <f>'🧾 Чек и LTV'!B20</f>
        <v>127824</v>
      </c>
    </row>
    <row r="26" ht="15.75" customHeight="1"/>
    <row r="27" ht="15.75" customHeight="1">
      <c r="A27" s="14" t="s">
        <v>83</v>
      </c>
    </row>
    <row r="28" ht="15.75" customHeight="1">
      <c r="A28" s="36" t="s">
        <v>80</v>
      </c>
      <c r="B28" s="36" t="s">
        <v>84</v>
      </c>
    </row>
    <row r="29" ht="15.75" customHeight="1">
      <c r="A29" s="36" t="s">
        <v>85</v>
      </c>
      <c r="B29" s="38">
        <f>'🧾 Чек и LTV'!B15</f>
        <v>168912</v>
      </c>
    </row>
    <row r="30" ht="15.75" customHeight="1">
      <c r="A30" s="36" t="s">
        <v>86</v>
      </c>
      <c r="B30" s="38">
        <f>'🧾 Чек и LTV'!B16</f>
        <v>63912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3:K3"/>
    <mergeCell ref="J4:K5"/>
    <mergeCell ref="A1:G1"/>
    <mergeCell ref="A3:B3"/>
    <mergeCell ref="D3:E3"/>
    <mergeCell ref="G3:H3"/>
    <mergeCell ref="A4:B5"/>
    <mergeCell ref="D4:E5"/>
    <mergeCell ref="G4:H5"/>
  </mergeCells>
  <printOptions/>
  <pageMargins bottom="1.0" footer="0.0" header="0.0" left="0.75" right="0.75" top="1.0"/>
  <pageSetup paperSize="9" orientation="portrait"/>
  <drawing r:id="rId1"/>
</worksheet>
</file>